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вары" sheetId="1" state="visible" r:id="rId3"/>
    <sheet name="Исходные данные" sheetId="2" state="visible" r:id="rId4"/>
    <sheet name="Сверка" sheetId="3" state="visible" r:id="rId5"/>
    <sheet name="Замечания" sheetId="4" state="visible" r:id="rId6"/>
  </sheets>
  <definedNames>
    <definedName function="false" hidden="false" localSheetId="3" name="_xlnm.Print_Titles" vbProcedure="false">Замечания!$4:$4</definedName>
    <definedName function="false" hidden="false" localSheetId="1" name="_xlnm.Print_Titles" vbProcedure="false">'Исходные данные'!$4:$4</definedName>
    <definedName function="false" hidden="true" localSheetId="1" name="_xlnm._FilterDatabase" vbProcedure="false">'Исходные данные'!$A$4:$AE$44</definedName>
    <definedName function="false" hidden="false" localSheetId="2" name="_xlnm.Print_Titles" vbProcedure="false">Сверка!$4:$4</definedName>
    <definedName function="false" hidden="false" localSheetId="0" name="_xlnm.Print_Titles" vbProcedure="false">Товары!$4:$4</definedName>
    <definedName function="false" hidden="true" localSheetId="0" name="_xlnm._FilterDatabase" vbProcedure="false">Товары!$A$4:$K$44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<sst xmlns="http://schemas.openxmlformats.org/spreadsheetml/2006/main" count="629" uniqueCount="287">
  <si>
    <t xml:space="preserve">Спецификация товаров по счетам-проформам UZ95-039-2026 … UZ95-045-2026 от 21.09.2026 и упаковочным листам к ним</t>
  </si>
  <si>
    <t xml:space="preserve">Отправитель: Permanent Establishment "Patentes Talgo SLU" in Uzbekistan (Ташкент). Получатель: PATENTES TALGO S.L.U (Las Matas, Madrid, Испания). Контракт EXP-72; DAP Madrid (Incoterms 2020); валюта — EUR; происхождение — Spain.</t>
  </si>
  <si>
    <t xml:space="preserve">Значения связаны формулами с листом «Исходные данные». Жёлтая заливка в столбце «Вес брутто» — расчётное значение: в упаковочном листе брутто указан на грузовое место целиком и распределён по позициям пропорционально весу нетто.</t>
  </si>
  <si>
    <t xml:space="preserve">№</t>
  </si>
  <si>
    <t xml:space="preserve">Счёт-проформа / PL №</t>
  </si>
  <si>
    <t xml:space="preserve">Артикул товара</t>
  </si>
  <si>
    <t xml:space="preserve">Наименование товара на русском языке</t>
  </si>
  <si>
    <t xml:space="preserve">Код ТН ВЭД</t>
  </si>
  <si>
    <t xml:space="preserve">Количество товара</t>
  </si>
  <si>
    <t xml:space="preserve">Единица измерения</t>
  </si>
  <si>
    <t xml:space="preserve">Стоимость товара, EUR</t>
  </si>
  <si>
    <t xml:space="preserve">Вес брутто, кг</t>
  </si>
  <si>
    <t xml:space="preserve">Вес нетто, кг</t>
  </si>
  <si>
    <t xml:space="preserve">Примечание аудитора (см. лист «Замечания»)</t>
  </si>
  <si>
    <t xml:space="preserve">Плата/модуль заявлены как интегральная схема (8542) — проверить (зам. 5)</t>
  </si>
  <si>
    <t xml:space="preserve">9032 81 — гидравлические/пневматические приборы; товар электронный (зам. 4)</t>
  </si>
  <si>
    <t xml:space="preserve">9015 90 — части и принадлежности; товар — готовый прибор (зам. 7)</t>
  </si>
  <si>
    <t xml:space="preserve">Неясное слово «КЛЕЩЕ» (зам. 9); код 9015 90 — части и принадлежности (зам. 7)</t>
  </si>
  <si>
    <t xml:space="preserve">Опечатка: верно «ЭЛЕКТРОПНЕВМАТИЧЕСКИЙ» — перенесено как в оригинале (зам. 8)</t>
  </si>
  <si>
    <t xml:space="preserve">8531 10 — сигнализация; товар — плата/мультиплексор температуры (зам. 6)</t>
  </si>
  <si>
    <t xml:space="preserve">8536 — аппаратура до 1000 В; в описании 4000V (зам. 3)</t>
  </si>
  <si>
    <t xml:space="preserve">Строка не включена в TOTAL FACTURA счёта 043 (зам. 1)</t>
  </si>
  <si>
    <t xml:space="preserve">Код 8607 91, а у однотипного «АМОРТИЗАТОР 130» — 8607 19 (зам. 2)</t>
  </si>
  <si>
    <t xml:space="preserve">Код 8607 91 при коде 8607 19 у позиций с тем же наименованием (Z5050054A/57A/58A) (зам. 2)</t>
  </si>
  <si>
    <t xml:space="preserve">Код 8607 91, у остальных амортизаторов счёта — 8607 19 (зам. 2)</t>
  </si>
  <si>
    <t xml:space="preserve">ИТОГО по таблице (сумма строк)</t>
  </si>
  <si>
    <t xml:space="preserve">Справочно: сумма TOTAL FACTURA по 7 счетам, EUR</t>
  </si>
  <si>
    <t xml:space="preserve">Разница: таблица − TOTAL FACTURA, EUR (счёт 043, зам. 1)</t>
  </si>
  <si>
    <t xml:space="preserve">Исходные данные: построчный перенос со сканов счетов-проформ и упаковочных листов (PL) с проверками</t>
  </si>
  <si>
    <t xml:space="preserve">Синий шрифт — значения, перенесённые из документов (файл 8c38d916-supporting_4.pdf, стр. указаны в столбце C). Чёрный — формулы. Столбцы W–Z: распределение веса брутто места по позициям пропорционально весу нетто (округление до 0,01 кг; остаток округления относится на позицию с наибольшим весом нетто в месте).</t>
  </si>
  <si>
    <t xml:space="preserve">Стр. PDF (счёт / PL)</t>
  </si>
  <si>
    <t xml:space="preserve">№ паллеты (Bulto nr) по счёту</t>
  </si>
  <si>
    <t xml:space="preserve">Место по PL</t>
  </si>
  <si>
    <t xml:space="preserve">Габариты места (ДхШхВ), см</t>
  </si>
  <si>
    <t xml:space="preserve">Ключ места</t>
  </si>
  <si>
    <t xml:space="preserve">Артикул (счёт)</t>
  </si>
  <si>
    <t xml:space="preserve">Артикул (PL)</t>
  </si>
  <si>
    <t xml:space="preserve">Описание (исп.), счёт</t>
  </si>
  <si>
    <t xml:space="preserve">Наименование (рус.), счёт</t>
  </si>
  <si>
    <t xml:space="preserve">Наименование (рус.), PL</t>
  </si>
  <si>
    <t xml:space="preserve">Код ТН ВЭД (счёт)</t>
  </si>
  <si>
    <t xml:space="preserve">Кол-во (счёт)</t>
  </si>
  <si>
    <t xml:space="preserve">Кол-во (PL)</t>
  </si>
  <si>
    <t xml:space="preserve">Ед. изм. (счёт)</t>
  </si>
  <si>
    <t xml:space="preserve">Упаковка</t>
  </si>
  <si>
    <t xml:space="preserve">Цена за ед., EUR</t>
  </si>
  <si>
    <t xml:space="preserve">Стоимость по счёту, EUR</t>
  </si>
  <si>
    <t xml:space="preserve">Вес нетто 1 шт., кг (PL)</t>
  </si>
  <si>
    <t xml:space="preserve">Вес нетто по PL, кг</t>
  </si>
  <si>
    <t xml:space="preserve">Вес брутто места по PL, кг</t>
  </si>
  <si>
    <t xml:space="preserve">Нетто места, кг</t>
  </si>
  <si>
    <t xml:space="preserve">Брутто: пропорц. доля (округл.), кг</t>
  </si>
  <si>
    <t xml:space="preserve">Остаток округления на эту строку (1/0)</t>
  </si>
  <si>
    <t xml:space="preserve">Вес брутто позиции, кг (расчётный)</t>
  </si>
  <si>
    <t xml:space="preserve">Проверка: кол-во × цена = стоимость</t>
  </si>
  <si>
    <t xml:space="preserve">Проверка: кол-во × вес 1 шт. = нетто</t>
  </si>
  <si>
    <t xml:space="preserve">Проверка: артикул счёт = PL</t>
  </si>
  <si>
    <t xml:space="preserve">Проверка: наименование счёт = PL</t>
  </si>
  <si>
    <t xml:space="preserve">Проверка: кол-во счёт = PL</t>
  </si>
  <si>
    <t xml:space="preserve">UZ95-039-2026</t>
  </si>
  <si>
    <t xml:space="preserve">1 / 2</t>
  </si>
  <si>
    <t xml:space="preserve">200x260x150</t>
  </si>
  <si>
    <t xml:space="preserve">Z5069905A</t>
  </si>
  <si>
    <t xml:space="preserve">EJE DE TRACCION COMPLETO REPARADO</t>
  </si>
  <si>
    <t xml:space="preserve">КОМПЛЕКТ ВАЛОВ С НАБОРОМ КОЛЕС И ТЯГОВЫМ ДВИГАТЕЛЕМ</t>
  </si>
  <si>
    <t xml:space="preserve">8607191009</t>
  </si>
  <si>
    <t xml:space="preserve">UN</t>
  </si>
  <si>
    <t xml:space="preserve">PM</t>
  </si>
  <si>
    <t xml:space="preserve">UZ95-040-2026</t>
  </si>
  <si>
    <t xml:space="preserve">3 / 4</t>
  </si>
  <si>
    <t xml:space="preserve">215x130x127</t>
  </si>
  <si>
    <t xml:space="preserve">Z5069970A</t>
  </si>
  <si>
    <t xml:space="preserve">EJE RODADURA COMPLETO REPARADO RODAL</t>
  </si>
  <si>
    <t xml:space="preserve">КОМПЛЕКТ ВАЛОВ С НАБОРОМ КОЛЕС</t>
  </si>
  <si>
    <t xml:space="preserve">UZ95-041-2026</t>
  </si>
  <si>
    <t xml:space="preserve">5 / 6</t>
  </si>
  <si>
    <t xml:space="preserve">120x80x65</t>
  </si>
  <si>
    <t xml:space="preserve">Z10001389</t>
  </si>
  <si>
    <t xml:space="preserve">MODULO SUPERVISION RODADURA 01</t>
  </si>
  <si>
    <t xml:space="preserve">МОДУЛЬ РЕГУЛИРОВКИ ВРАЩЕНИЯ 01</t>
  </si>
  <si>
    <t xml:space="preserve">8542319010</t>
  </si>
  <si>
    <t xml:space="preserve">Z10010402</t>
  </si>
  <si>
    <t xml:space="preserve">MODULO F.A. Y DISPLAY SICAST350 REPARADO</t>
  </si>
  <si>
    <t xml:space="preserve">МОДУЛЬ ВВОДА ДАННЫХ SICAST350</t>
  </si>
  <si>
    <t xml:space="preserve">Z10010403</t>
  </si>
  <si>
    <t xml:space="preserve">TARJETA MVB(T) SICAS-T350 REPARADA</t>
  </si>
  <si>
    <t xml:space="preserve">ПЛАТА MVB(T) SICAS-T350</t>
  </si>
  <si>
    <t xml:space="preserve">Z10010440</t>
  </si>
  <si>
    <t xml:space="preserve">TARJETA ED1 SICAS-T350 REPARADO</t>
  </si>
  <si>
    <t xml:space="preserve">ПЛАТА ED1 SICAS-T350</t>
  </si>
  <si>
    <t xml:space="preserve">Z5035563A</t>
  </si>
  <si>
    <t xml:space="preserve">DETECTOR DE HUMOS RECUPERADO</t>
  </si>
  <si>
    <t xml:space="preserve">ДАТЧИК ДЫМА</t>
  </si>
  <si>
    <t xml:space="preserve">8531109500</t>
  </si>
  <si>
    <t xml:space="preserve">Z615677</t>
  </si>
  <si>
    <t xml:space="preserve">RACK ELECTRONICO ANTIBLOQUEO REPARADO</t>
  </si>
  <si>
    <t xml:space="preserve">БЛОК СИСТЕМЫ АБС</t>
  </si>
  <si>
    <t xml:space="preserve">9032810000</t>
  </si>
  <si>
    <t xml:space="preserve">UZ95-042-2026</t>
  </si>
  <si>
    <t xml:space="preserve">7 / 8</t>
  </si>
  <si>
    <t xml:space="preserve">60x40x40</t>
  </si>
  <si>
    <t xml:space="preserve">Z10063008</t>
  </si>
  <si>
    <t xml:space="preserve">INCLINOMETRO DIGITAL REPARADO</t>
  </si>
  <si>
    <t xml:space="preserve">ЦИФРОВОЙ ИНКЛИНОМЕТР</t>
  </si>
  <si>
    <t xml:space="preserve">9015900000</t>
  </si>
  <si>
    <t xml:space="preserve">Z5001430A</t>
  </si>
  <si>
    <t xml:space="preserve">CALIBRE PARA EL CONTROL DE RODADURA REP</t>
  </si>
  <si>
    <t xml:space="preserve">КАЛИБРАТОР ДЛЯ ИЗМЕРЕНИЯ ПРОФИЛЯ КОЛЕСА</t>
  </si>
  <si>
    <t xml:space="preserve">9017300000</t>
  </si>
  <si>
    <t xml:space="preserve">Z594470</t>
  </si>
  <si>
    <t xml:space="preserve">PATRON REPARADO/CALIBRADO</t>
  </si>
  <si>
    <t xml:space="preserve">КЛЕЩЕ (ПАТРОН) КАЛИБРОВОЧНЫЙ</t>
  </si>
  <si>
    <t xml:space="preserve">UZ95-043-2026</t>
  </si>
  <si>
    <t xml:space="preserve">9 / 10</t>
  </si>
  <si>
    <t xml:space="preserve">120x80x110</t>
  </si>
  <si>
    <t xml:space="preserve">Z10001801</t>
  </si>
  <si>
    <t xml:space="preserve">MODULO ENTRADAS/SALIDAS</t>
  </si>
  <si>
    <t xml:space="preserve">МОДУЛЬ ВВОДА/ВЫВОДА ДАННЫХ</t>
  </si>
  <si>
    <t xml:space="preserve">Z10014704</t>
  </si>
  <si>
    <t xml:space="preserve">MODULADOR ELECTRONEUMATICO (EPM) REP</t>
  </si>
  <si>
    <t xml:space="preserve">ЭЛЕКТРОНУМАТИЧЕСКИЙ МОДУЛЯТОР (ЭПМ)</t>
  </si>
  <si>
    <t xml:space="preserve">8607998000</t>
  </si>
  <si>
    <t xml:space="preserve">Z10014705</t>
  </si>
  <si>
    <t xml:space="preserve">EUROTROL REPARADO</t>
  </si>
  <si>
    <t xml:space="preserve">ЕВРОТРОЛЬ (РЕГУЛ.ТОРМ.СИСТЕМЫ)</t>
  </si>
  <si>
    <t xml:space="preserve">8607219000</t>
  </si>
  <si>
    <t xml:space="preserve">Z10014712</t>
  </si>
  <si>
    <t xml:space="preserve">RELE DE VALVULA DE PRESION 4/3,25±0,1 BAR</t>
  </si>
  <si>
    <t xml:space="preserve">РЕЛЕ КЛАПАНА ДАВЛЕНИЯ</t>
  </si>
  <si>
    <t xml:space="preserve">8536490000</t>
  </si>
  <si>
    <t xml:space="preserve">Z10016893</t>
  </si>
  <si>
    <t xml:space="preserve">DISTRIBUIDOR SW4 REPARADO</t>
  </si>
  <si>
    <t xml:space="preserve">ДИСТРИБЬЮТОР SW4</t>
  </si>
  <si>
    <t xml:space="preserve">Z10030325</t>
  </si>
  <si>
    <t xml:space="preserve">TARJETA DPI 1 REPARADO</t>
  </si>
  <si>
    <t xml:space="preserve">ПЛАТА DPI 1</t>
  </si>
  <si>
    <t xml:space="preserve">Z10035917</t>
  </si>
  <si>
    <t xml:space="preserve">MULTIPLEXOR DE TEMPERATURA (PT100)</t>
  </si>
  <si>
    <t xml:space="preserve">ПЛАТА ТЕМПЕРАТУРЫ (PT100)</t>
  </si>
  <si>
    <t xml:space="preserve">Z10035979</t>
  </si>
  <si>
    <t xml:space="preserve">CONTAC 100A 4000V 1POLO 2NO + 2NC REPAR</t>
  </si>
  <si>
    <t xml:space="preserve">КОНТАКТОР 100A 4000V</t>
  </si>
  <si>
    <t xml:space="preserve">Z10037362</t>
  </si>
  <si>
    <t xml:space="preserve">FUENTE ALIMENTACION CPCI TEAM</t>
  </si>
  <si>
    <t xml:space="preserve">БЛОК ПИТАНИЯ CPCI TEAM</t>
  </si>
  <si>
    <t xml:space="preserve">8504409000</t>
  </si>
  <si>
    <t xml:space="preserve">Z10037794</t>
  </si>
  <si>
    <t xml:space="preserve">MODULO DE 12 ENTRADAS PT100 REPARADO</t>
  </si>
  <si>
    <t xml:space="preserve">МОДУЛЬ 12 ВВОДА ДАННЫХ PT100</t>
  </si>
  <si>
    <t xml:space="preserve">Z10050907</t>
  </si>
  <si>
    <t xml:space="preserve">MODULO 4 IGBTS</t>
  </si>
  <si>
    <t xml:space="preserve">МОДУЛЬ 4 IGBTS</t>
  </si>
  <si>
    <t xml:space="preserve">8504408400</t>
  </si>
  <si>
    <t xml:space="preserve">Z10060936</t>
  </si>
  <si>
    <t xml:space="preserve">ELECTROVALVULA 21C REP</t>
  </si>
  <si>
    <t xml:space="preserve">ЭЛЕКТРОКЛАПАН 21C</t>
  </si>
  <si>
    <t xml:space="preserve">8481807399</t>
  </si>
  <si>
    <t xml:space="preserve">Z10062945</t>
  </si>
  <si>
    <t xml:space="preserve">TARJETA DE MEDIDAS Y DISPAROS REPARADA</t>
  </si>
  <si>
    <t xml:space="preserve">ПЛАТА ИЗМЕРИТЕЛЬНАЯ</t>
  </si>
  <si>
    <t xml:space="preserve">Z5039543A</t>
  </si>
  <si>
    <t xml:space="preserve">CENTRAL DE CONTROL PANELES INF.REPARADA</t>
  </si>
  <si>
    <t xml:space="preserve">ЦЕНТРАЛЬНАЯ ПАНЕЛЬ УПРАВЛЕНИЯ</t>
  </si>
  <si>
    <t xml:space="preserve">8537109900</t>
  </si>
  <si>
    <t xml:space="preserve">UZ95-044-2026</t>
  </si>
  <si>
    <t xml:space="preserve">11 / 12</t>
  </si>
  <si>
    <t xml:space="preserve">120x80x55</t>
  </si>
  <si>
    <t xml:space="preserve">Z10010755</t>
  </si>
  <si>
    <t xml:space="preserve">AMORTIGUADOR REP 130,730,102,112</t>
  </si>
  <si>
    <t xml:space="preserve">АМОРТИЗАТОР 130,730,102,112</t>
  </si>
  <si>
    <t xml:space="preserve">8607919000</t>
  </si>
  <si>
    <t xml:space="preserve">Z5040584A</t>
  </si>
  <si>
    <t xml:space="preserve">AMORTIGUADOR REPARADO 130</t>
  </si>
  <si>
    <t xml:space="preserve">АМОРТИЗАТОР 130</t>
  </si>
  <si>
    <t xml:space="preserve">8607199000</t>
  </si>
  <si>
    <t xml:space="preserve">UZ95-045-2026</t>
  </si>
  <si>
    <t xml:space="preserve">13 / 14</t>
  </si>
  <si>
    <t xml:space="preserve">Z5024835A</t>
  </si>
  <si>
    <t xml:space="preserve">AMORTIGUADOR ANTILAZO LONGITUDINAL REPAR</t>
  </si>
  <si>
    <t xml:space="preserve">АМОРТИЗАТОР-ГАСИТЕЛЬ УГЛОВЫХ КОЛЕБАНИЙ</t>
  </si>
  <si>
    <t xml:space="preserve">Z5024837A</t>
  </si>
  <si>
    <t xml:space="preserve">AMORTIGUADOR SUSPENSION SECUNDARIA REPAR</t>
  </si>
  <si>
    <t xml:space="preserve">АМОРТИЗАТОР ПОДВЕСНОЙ (ВТОРИЧНЫЙ)</t>
  </si>
  <si>
    <t xml:space="preserve">Z5050054A</t>
  </si>
  <si>
    <t xml:space="preserve">AMORTIGUADOR ANTILAZO TRANSVERSAL REP</t>
  </si>
  <si>
    <t xml:space="preserve">ПОПЕРЕЧНЫЙ АНТИВИБРАЦИОННЫЙ АМОРТИЗАТОР</t>
  </si>
  <si>
    <t xml:space="preserve">Z5050055A</t>
  </si>
  <si>
    <t xml:space="preserve">AMORTIGUADOR ANTILAZO TRANSVERSAL</t>
  </si>
  <si>
    <t xml:space="preserve">Z5050057A</t>
  </si>
  <si>
    <t xml:space="preserve">AMORTIGUADOR ON/OFF ANTILAZO TRANSVERSAL</t>
  </si>
  <si>
    <t xml:space="preserve">Z5050058A</t>
  </si>
  <si>
    <t xml:space="preserve">Z5052776A</t>
  </si>
  <si>
    <t xml:space="preserve">AMORTIGUADOR SUSPENSION PRIMARIA REPARAD</t>
  </si>
  <si>
    <t xml:space="preserve">АМОРТИЗАТОР ПОДВЕСНОЙ (ПЕРВИЧНЫЙ)</t>
  </si>
  <si>
    <t xml:space="preserve">Z5172926A</t>
  </si>
  <si>
    <t xml:space="preserve">AMORTIGUADOR REPARADO</t>
  </si>
  <si>
    <t xml:space="preserve">АМОРТИЗАТОР</t>
  </si>
  <si>
    <t xml:space="preserve">Z5192559A</t>
  </si>
  <si>
    <t xml:space="preserve">VALVULA DE NIVEL,UZB F069 REPARADA</t>
  </si>
  <si>
    <t xml:space="preserve">УРОВНЕВЫЙ КЛАПАН, F069</t>
  </si>
  <si>
    <t xml:space="preserve">8481101908</t>
  </si>
  <si>
    <t xml:space="preserve">Z5192559B</t>
  </si>
  <si>
    <t xml:space="preserve">Сверка итогов таблицы «Товары» с итогами, напечатанными в документах</t>
  </si>
  <si>
    <t xml:space="preserve">Синий шрифт — итоги из документов (строка TOTAL счёта / PL). Чёрный — формулы по листу «Товары».</t>
  </si>
  <si>
    <t xml:space="preserve">Строк в таблице</t>
  </si>
  <si>
    <t xml:space="preserve">Кол-во: итог счёта</t>
  </si>
  <si>
    <t xml:space="preserve">Кол-во: сумма строк</t>
  </si>
  <si>
    <t xml:space="preserve">Кол-во: итог PL</t>
  </si>
  <si>
    <t xml:space="preserve">Стоимость: TOTAL FACTURA, EUR</t>
  </si>
  <si>
    <t xml:space="preserve">Стоимость: сумма строк, EUR</t>
  </si>
  <si>
    <t xml:space="preserve">Расхождение стоимости, EUR</t>
  </si>
  <si>
    <t xml:space="preserve">Нетто: итог PL, кг</t>
  </si>
  <si>
    <t xml:space="preserve">Нетто: сумма строк, кг</t>
  </si>
  <si>
    <t xml:space="preserve">Расхождение нетто, кг</t>
  </si>
  <si>
    <t xml:space="preserve">Брутто: итог PL, кг</t>
  </si>
  <si>
    <t xml:space="preserve">Брутто: сумма строк, кг</t>
  </si>
  <si>
    <t xml:space="preserve">Расхождение брутто, кг</t>
  </si>
  <si>
    <t xml:space="preserve">Брутто &gt; нетто</t>
  </si>
  <si>
    <t xml:space="preserve">Статус</t>
  </si>
  <si>
    <t xml:space="preserve">ИТОГО</t>
  </si>
  <si>
    <t xml:space="preserve">Построчные проверки (лист «Исходные данные»)</t>
  </si>
  <si>
    <t xml:space="preserve">Строк, где кол-во × цена ≠ стоимость</t>
  </si>
  <si>
    <t xml:space="preserve">Строк, где кол-во × вес 1 шт. ≠ нетто</t>
  </si>
  <si>
    <t xml:space="preserve">Строк, где артикул в счёте ≠ артикулу в PL</t>
  </si>
  <si>
    <t xml:space="preserve">Строк, где наименование в счёте ≠ наименованию в PL</t>
  </si>
  <si>
    <t xml:space="preserve">Строк, где кол-во в счёте ≠ кол-ву в PL</t>
  </si>
  <si>
    <t xml:space="preserve">Строк, где код ТН ВЭД не 10-значный</t>
  </si>
  <si>
    <t xml:space="preserve">Строк, где стоимость, вес нетто или брутто ≤ 0</t>
  </si>
  <si>
    <t xml:space="preserve">Замечания аудитора по комплекту документов</t>
  </si>
  <si>
    <t xml:space="preserve">Коды ТН ВЭД перенесены строго как в документах. Комментарии к классификации сделаны на уровне 6 знаков ГС по текстам товарных позиций/субпозиций; национальные знаки (7–10) не проверялись — нет доступа к актуальной редакции тарифа. Окончательное решение о классификации — за декларантом.</t>
  </si>
  <si>
    <t xml:space="preserve">Уровень</t>
  </si>
  <si>
    <t xml:space="preserve">Документ</t>
  </si>
  <si>
    <t xml:space="preserve">Артикул(ы)</t>
  </si>
  <si>
    <t xml:space="preserve">Суть замечания</t>
  </si>
  <si>
    <t xml:space="preserve">Как отражено в таблице / рекомендация</t>
  </si>
  <si>
    <t xml:space="preserve">Уверенность</t>
  </si>
  <si>
    <t xml:space="preserve">Критично</t>
  </si>
  <si>
    <t xml:space="preserve">TOTAL FACTURA = 13 567,15 EUR, а сумма 14 строк счёта = 13 715,71 EUR. Разница 148,56 EUR в точности равна стоимости последней строки (Z5039543A «ЦЕНТРАЛЬНАЯ ПАНЕЛЬ УПРАВЛЕНИЯ», 1 шт × 148,56). Итог по количеству (22 шт) эту строку включает, итог по стоимости — нет. Вероятно, диапазон суммирования в счёте не захватил последнюю строку.</t>
  </si>
  <si>
    <t xml:space="preserve">В таблицу перенесены построчные значения: итог таблицы 36 280,25 EUR против 36 131,69 EUR по сумме TOTAL FACTURA. До подачи декларации запросить у отправителя исправленный счёт или подтверждение верной суммы.</t>
  </si>
  <si>
    <t xml:space="preserve">Высокая — арифметика проверена</t>
  </si>
  <si>
    <t xml:space="preserve">Требует проверки</t>
  </si>
  <si>
    <t xml:space="preserve">UZ95-044-2026, UZ95-045-2026</t>
  </si>
  <si>
    <t xml:space="preserve">Z5050055A, Z5172926A, Z10010755</t>
  </si>
  <si>
    <t xml:space="preserve">Однотипные амортизаторы отнесены к разным субпозициям: 8607 19 (части тележек, осей, колёс) и 8607 91 (прочие части локомотивов). Самый явный случай: «ПОПЕРЕЧНЫЙ АНТИВИБРАЦИОННЫЙ АМОРТИЗАТОР» Z5050055A → 8607919000, а Z5050054A, Z5050057A, Z5050058A с тем же наименованием → 8607199000. В счёте 044: «АМОРТИЗАТОР 130,730,102,112» → 8607919000, «АМОРТИЗАТОР 130» → 8607199000; в 045 «АМОРТИЗАТОР» Z5172926A → 8607919000.</t>
  </si>
  <si>
    <t xml:space="preserve">Коды перенесены как в документах. Разница может объясняться местом установки (тележка / кузов), но из документов это не следует — запросить обоснование.</t>
  </si>
  <si>
    <t xml:space="preserve">Высокая — в части факта расхождения; верный код не определяю</t>
  </si>
  <si>
    <t xml:space="preserve">«КОНТАКТОР 100A 4000V» заявлен в 8536490000. Товарная позиция 8536 — аппаратура на напряжение не более 1000 В; свыше 1000 В — позиция 8535.</t>
  </si>
  <si>
    <t xml:space="preserve">Код перенесён как в документе. Если 4000 В — номинальное рабочее напряжение, код подлежит пересмотру.</t>
  </si>
  <si>
    <t xml:space="preserve">Средняя: текст позиций — уверен; что означает 4000V (рабочее или испытательное напряжение) — из документа неясно</t>
  </si>
  <si>
    <t xml:space="preserve">«БЛОК СИСТЕМЫ АБС» (исп. RACK ELECTRONICO ANTIBLOQUEO — электронная стойка) заявлен в 9032810000. Субпозиция 9032 81 — приборы гидравлические или пневматические; прочие (в т.ч. электронные) — 9032 89.</t>
  </si>
  <si>
    <t xml:space="preserve">Код перенесён как в документе; проверить по техническому описанию.</t>
  </si>
  <si>
    <t xml:space="preserve">Средняя</t>
  </si>
  <si>
    <t xml:space="preserve">UZ95-041-2026, UZ95-043-2026</t>
  </si>
  <si>
    <t xml:space="preserve">Z10001389, Z10010402, Z10010403, Z10010440, Z10001801, Z10030325, Z10037794, Z10062945</t>
  </si>
  <si>
    <t xml:space="preserve">Модули и платы заявлены в 8542319010 (электронные интегральные схемы — процессоры и контроллеры). Собранные платы/модули, как правило, не являются интегральными схемами в смысле примечания к группе 85 и классифицируются иначе (например, как части оборудования).</t>
  </si>
  <si>
    <t xml:space="preserve">Коды перенесены как в документах; рекомендуется проверка классификации по техническому описанию.</t>
  </si>
  <si>
    <t xml:space="preserve">«ПЛАТА ТЕМПЕРАТУРЫ (PT100)» (исп. MULTIPLEXOR DE TEMPERATURA) заявлена в 8531109500 — тот же код, что у «ДАТЧИК ДЫМА». Субпозиция 8531 10 — устройства охранной или пожарной сигнализации и аналогичная аппаратура; мультиплексор температуры к ним явно не относится.</t>
  </si>
  <si>
    <t xml:space="preserve">Код перенесён как в документе.</t>
  </si>
  <si>
    <t xml:space="preserve">Z10063008, Z594470</t>
  </si>
  <si>
    <t xml:space="preserve">Код 9015900000 — субпозиция 9015 90 «части и принадлежности». «ЦИФРОВОЙ ИНКЛИНОМЕТР» — законченный прибор, а не часть (возможно, 9015 80). Назначение Z594470 «КЛЕЩЕ (ПАТРОН) КАЛИБРОВОЧНЫЙ» (исп. PATRON — эталон/шаблон) из документов неясно.</t>
  </si>
  <si>
    <t xml:space="preserve">Коды перенесены как в документе.</t>
  </si>
  <si>
    <t xml:space="preserve">Опечатка</t>
  </si>
  <si>
    <t xml:space="preserve">«ЭЛЕКТРОНУМАТИЧЕСКИЙ МОДУЛЯТОР (ЭПМ)» — пропущены буквы; по исп. ELECTRONEUMATICO и аббревиатуре ЭПМ правильно «ЭЛЕКТРОПНЕВМАТИЧЕСКИЙ». Опечатка одинаковая в счёте и PL.</t>
  </si>
  <si>
    <t xml:space="preserve">Перенесено как в оригинале; в декларации рекомендуется исправить.</t>
  </si>
  <si>
    <t xml:space="preserve">Высокая</t>
  </si>
  <si>
    <t xml:space="preserve">Неясное наименование</t>
  </si>
  <si>
    <t xml:space="preserve">«КЛЕЩЕ (ПАТРОН) КАЛИБРОВОЧНЫЙ» — «КЛЕЩЕ» не является корректной словоформой (возможно, имелось в виду «КЛЕЩИ»). Исп.: PATRON REPARADO/CALIBRADO — эталон (шаблон) отремонтированный/откалиброванный.</t>
  </si>
  <si>
    <t xml:space="preserve">Перенесено как в оригинале; уточнить у отправителя.</t>
  </si>
  <si>
    <t xml:space="preserve">Высокая — в части факта; что имелось в виду, я не знаю</t>
  </si>
  <si>
    <t xml:space="preserve">Расчёт (не из документа)</t>
  </si>
  <si>
    <t xml:space="preserve">UZ95-041 … 045-2026</t>
  </si>
  <si>
    <t xml:space="preserve">—</t>
  </si>
  <si>
    <t xml:space="preserve">В упаковочных листах 041–045 вес брутто указан на грузовое место целиком (объединённая ячейка), а не на каждую позицию.</t>
  </si>
  <si>
    <t xml:space="preserve">Вес брутто по позициям рассчитан пропорционально весу нетто (округление до 0,01 кг, остаток округления — на позицию с наибольшим нетто в месте); суммы по местам точно равны PL. Ячейки выделены жёлтым. Для 039 и 040 брутто указан по каждому месту = позиции и взят напрямую.</t>
  </si>
  <si>
    <t xml:space="preserve">Метод — расчётный; суммы проверены формулами</t>
  </si>
  <si>
    <t xml:space="preserve">Уточнить</t>
  </si>
  <si>
    <t xml:space="preserve">UZ95-041-2026, UZ95-042-2026</t>
  </si>
  <si>
    <t xml:space="preserve">В обоих счетах указан № паллеты 2, но в PL это разные места: PL 041 — место 1, 120×80×65 см, брутто 75 кг; PL 042 — место «0», 60×40×40 см, брутто 10 кг. Номера паллет в счетах: 1, 2, 3, 4, 5, 6, 7, 10, 11 — №8 и №9 в комплекте отсутствуют.</t>
  </si>
  <si>
    <t xml:space="preserve">Уточнить фактическое количество грузовых мест и нет ли в этой отправке других счетов.</t>
  </si>
  <si>
    <t xml:space="preserve">Высокая — в части факта</t>
  </si>
  <si>
    <t xml:space="preserve">Информация</t>
  </si>
  <si>
    <t xml:space="preserve">все</t>
  </si>
  <si>
    <t xml:space="preserve">Z10001389, Z10001801, Z10014712, Z10035917, Z10037362, Z10050907, Z5050055A, Z5050057A, Z5050058A</t>
  </si>
  <si>
    <t xml:space="preserve">Почти все позиции в исп. описании помечены REPARADO / REP / RECUPERADO (отремонтированные), но в русских наименованиях это не отражено. Без такой пометки в исп. описании — только перечисленные артикулы.</t>
  </si>
  <si>
    <t xml:space="preserve">Может иметь значение для выбора таможенной процедуры (вывоз/возврат после ремонта).</t>
  </si>
  <si>
    <t xml:space="preserve">Во всех 7 счетах: «стоимость только для таможенных целей»; IVA 0 %; «включено 0,50 кг переработанной пластиковой упаковки (EPE)». Реквизиты отправителя, получателя и контактного лица во всех 14 документах совпадают.</t>
  </si>
  <si>
    <t xml:space="preserve">Справочно.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</si>
</sst>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#,##0.000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F8CBAD"/>
        <bgColor rgb="FFFFF2CC"/>
      </patternFill>
    </fill>
    <fill>
      <patternFill patternType="solid">
        <fgColor rgb="FFEDEDED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48"/>
  </cols>
  <sheetData>
    <row r="1" customFormat="false" ht="1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1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customFormat="false" ht="23.85" hidden="false" customHeight="false" outlineLevel="0" collapsed="false">
      <c r="A5" s="5" t="n">
        <v>1</v>
      </c>
      <c r="B5" s="5" t="str">
        <f aca="false">'Исходные данные'!B5</f>
        <v>UZ95-039-2026</v>
      </c>
      <c r="C5" s="5" t="str">
        <f aca="false">'Исходные данные'!H5</f>
        <v>Z5069905A</v>
      </c>
      <c r="D5" s="6" t="str">
        <f aca="false">'Исходные данные'!K5</f>
        <v>КОМПЛЕКТ ВАЛОВ С НАБОРОМ КОЛЕС И ТЯГОВЫМ ДВИГАТЕЛЕМ</v>
      </c>
      <c r="E5" s="5" t="str">
        <f aca="false">'Исходные данные'!M5</f>
        <v>8607191009</v>
      </c>
      <c r="F5" s="7" t="n">
        <f aca="false">'Исходные данные'!N5</f>
        <v>1</v>
      </c>
      <c r="G5" s="5" t="str">
        <f aca="false">IF('Исходные данные'!P5="UN","шт",'Исходные данные'!P5)</f>
        <v>шт</v>
      </c>
      <c r="H5" s="8" t="n">
        <f aca="false">'Исходные данные'!S5</f>
        <v>1680</v>
      </c>
      <c r="I5" s="8" t="n">
        <f aca="false">'Исходные данные'!Z5</f>
        <v>4800</v>
      </c>
      <c r="J5" s="8" t="n">
        <f aca="false">'Исходные данные'!U5</f>
        <v>4500</v>
      </c>
      <c r="K5" s="6"/>
    </row>
    <row r="6" customFormat="false" ht="23.85" hidden="false" customHeight="false" outlineLevel="0" collapsed="false">
      <c r="A6" s="5" t="n">
        <v>2</v>
      </c>
      <c r="B6" s="5" t="str">
        <f aca="false">'Исходные данные'!B6</f>
        <v>UZ95-039-2026</v>
      </c>
      <c r="C6" s="5" t="str">
        <f aca="false">'Исходные данные'!H6</f>
        <v>Z5069905A</v>
      </c>
      <c r="D6" s="6" t="str">
        <f aca="false">'Исходные данные'!K6</f>
        <v>КОМПЛЕКТ ВАЛОВ С НАБОРОМ КОЛЕС И ТЯГОВЫМ ДВИГАТЕЛЕМ</v>
      </c>
      <c r="E6" s="5" t="str">
        <f aca="false">'Исходные данные'!M6</f>
        <v>8607191009</v>
      </c>
      <c r="F6" s="7" t="n">
        <f aca="false">'Исходные данные'!N6</f>
        <v>1</v>
      </c>
      <c r="G6" s="5" t="str">
        <f aca="false">IF('Исходные данные'!P6="UN","шт",'Исходные данные'!P6)</f>
        <v>шт</v>
      </c>
      <c r="H6" s="8" t="n">
        <f aca="false">'Исходные данные'!S6</f>
        <v>1680</v>
      </c>
      <c r="I6" s="8" t="n">
        <f aca="false">'Исходные данные'!Z6</f>
        <v>4800</v>
      </c>
      <c r="J6" s="8" t="n">
        <f aca="false">'Исходные данные'!U6</f>
        <v>4500</v>
      </c>
      <c r="K6" s="6"/>
    </row>
    <row r="7" customFormat="false" ht="15" hidden="false" customHeight="false" outlineLevel="0" collapsed="false">
      <c r="A7" s="5" t="n">
        <v>3</v>
      </c>
      <c r="B7" s="5" t="str">
        <f aca="false">'Исходные данные'!B7</f>
        <v>UZ95-040-2026</v>
      </c>
      <c r="C7" s="5" t="str">
        <f aca="false">'Исходные данные'!H7</f>
        <v>Z5069970A</v>
      </c>
      <c r="D7" s="6" t="str">
        <f aca="false">'Исходные данные'!K7</f>
        <v>КОМПЛЕКТ ВАЛОВ С НАБОРОМ КОЛЕС</v>
      </c>
      <c r="E7" s="5" t="str">
        <f aca="false">'Исходные данные'!M7</f>
        <v>8607191009</v>
      </c>
      <c r="F7" s="7" t="n">
        <f aca="false">'Исходные данные'!N7</f>
        <v>3</v>
      </c>
      <c r="G7" s="5" t="str">
        <f aca="false">IF('Исходные данные'!P7="UN","шт",'Исходные данные'!P7)</f>
        <v>шт</v>
      </c>
      <c r="H7" s="8" t="n">
        <f aca="false">'Исходные данные'!S7</f>
        <v>2280</v>
      </c>
      <c r="I7" s="8" t="n">
        <f aca="false">'Исходные данные'!Z7</f>
        <v>2305</v>
      </c>
      <c r="J7" s="8" t="n">
        <f aca="false">'Исходные данные'!U7</f>
        <v>2055</v>
      </c>
      <c r="K7" s="6"/>
    </row>
    <row r="8" customFormat="false" ht="15" hidden="false" customHeight="false" outlineLevel="0" collapsed="false">
      <c r="A8" s="5" t="n">
        <v>4</v>
      </c>
      <c r="B8" s="5" t="str">
        <f aca="false">'Исходные данные'!B8</f>
        <v>UZ95-040-2026</v>
      </c>
      <c r="C8" s="5" t="str">
        <f aca="false">'Исходные данные'!H8</f>
        <v>Z5069970A</v>
      </c>
      <c r="D8" s="6" t="str">
        <f aca="false">'Исходные данные'!K8</f>
        <v>КОМПЛЕКТ ВАЛОВ С НАБОРОМ КОЛЕС</v>
      </c>
      <c r="E8" s="5" t="str">
        <f aca="false">'Исходные данные'!M8</f>
        <v>8607191009</v>
      </c>
      <c r="F8" s="7" t="n">
        <f aca="false">'Исходные данные'!N8</f>
        <v>3</v>
      </c>
      <c r="G8" s="5" t="str">
        <f aca="false">IF('Исходные данные'!P8="UN","шт",'Исходные данные'!P8)</f>
        <v>шт</v>
      </c>
      <c r="H8" s="8" t="n">
        <f aca="false">'Исходные данные'!S8</f>
        <v>2280</v>
      </c>
      <c r="I8" s="8" t="n">
        <f aca="false">'Исходные данные'!Z8</f>
        <v>2305</v>
      </c>
      <c r="J8" s="8" t="n">
        <f aca="false">'Исходные данные'!U8</f>
        <v>2055</v>
      </c>
      <c r="K8" s="6"/>
    </row>
    <row r="9" customFormat="false" ht="15" hidden="false" customHeight="false" outlineLevel="0" collapsed="false">
      <c r="A9" s="5" t="n">
        <v>5</v>
      </c>
      <c r="B9" s="5" t="str">
        <f aca="false">'Исходные данные'!B9</f>
        <v>UZ95-040-2026</v>
      </c>
      <c r="C9" s="5" t="str">
        <f aca="false">'Исходные данные'!H9</f>
        <v>Z5069970A</v>
      </c>
      <c r="D9" s="6" t="str">
        <f aca="false">'Исходные данные'!K9</f>
        <v>КОМПЛЕКТ ВАЛОВ С НАБОРОМ КОЛЕС</v>
      </c>
      <c r="E9" s="5" t="str">
        <f aca="false">'Исходные данные'!M9</f>
        <v>8607191009</v>
      </c>
      <c r="F9" s="7" t="n">
        <f aca="false">'Исходные данные'!N9</f>
        <v>3</v>
      </c>
      <c r="G9" s="5" t="str">
        <f aca="false">IF('Исходные данные'!P9="UN","шт",'Исходные данные'!P9)</f>
        <v>шт</v>
      </c>
      <c r="H9" s="8" t="n">
        <f aca="false">'Исходные данные'!S9</f>
        <v>2280</v>
      </c>
      <c r="I9" s="8" t="n">
        <f aca="false">'Исходные данные'!Z9</f>
        <v>2305</v>
      </c>
      <c r="J9" s="8" t="n">
        <f aca="false">'Исходные данные'!U9</f>
        <v>2055</v>
      </c>
      <c r="K9" s="6"/>
    </row>
    <row r="10" customFormat="false" ht="23.85" hidden="false" customHeight="false" outlineLevel="0" collapsed="false">
      <c r="A10" s="5" t="n">
        <v>6</v>
      </c>
      <c r="B10" s="5" t="str">
        <f aca="false">'Исходные данные'!B10</f>
        <v>UZ95-041-2026</v>
      </c>
      <c r="C10" s="5" t="str">
        <f aca="false">'Исходные данные'!H10</f>
        <v>Z10001389</v>
      </c>
      <c r="D10" s="6" t="str">
        <f aca="false">'Исходные данные'!K10</f>
        <v>МОДУЛЬ РЕГУЛИРОВКИ ВРАЩЕНИЯ 01</v>
      </c>
      <c r="E10" s="5" t="str">
        <f aca="false">'Исходные данные'!M10</f>
        <v>8542319010</v>
      </c>
      <c r="F10" s="7" t="n">
        <f aca="false">'Исходные данные'!N10</f>
        <v>7</v>
      </c>
      <c r="G10" s="5" t="str">
        <f aca="false">IF('Исходные данные'!P10="UN","шт",'Исходные данные'!P10)</f>
        <v>шт</v>
      </c>
      <c r="H10" s="8" t="n">
        <f aca="false">'Исходные данные'!S10</f>
        <v>714</v>
      </c>
      <c r="I10" s="9" t="n">
        <f aca="false">'Исходные данные'!Z10</f>
        <v>21.85</v>
      </c>
      <c r="J10" s="8" t="n">
        <f aca="false">'Исходные данные'!U10</f>
        <v>12.6</v>
      </c>
      <c r="K10" s="6" t="s">
        <v>14</v>
      </c>
    </row>
    <row r="11" customFormat="false" ht="23.85" hidden="false" customHeight="false" outlineLevel="0" collapsed="false">
      <c r="A11" s="5" t="n">
        <v>7</v>
      </c>
      <c r="B11" s="5" t="str">
        <f aca="false">'Исходные данные'!B11</f>
        <v>UZ95-041-2026</v>
      </c>
      <c r="C11" s="5" t="str">
        <f aca="false">'Исходные данные'!H11</f>
        <v>Z10010402</v>
      </c>
      <c r="D11" s="6" t="str">
        <f aca="false">'Исходные данные'!K11</f>
        <v>МОДУЛЬ ВВОДА ДАННЫХ SICAST350</v>
      </c>
      <c r="E11" s="5" t="str">
        <f aca="false">'Исходные данные'!M11</f>
        <v>8542319010</v>
      </c>
      <c r="F11" s="7" t="n">
        <f aca="false">'Исходные данные'!N11</f>
        <v>2</v>
      </c>
      <c r="G11" s="5" t="str">
        <f aca="false">IF('Исходные данные'!P11="UN","шт",'Исходные данные'!P11)</f>
        <v>шт</v>
      </c>
      <c r="H11" s="8" t="n">
        <f aca="false">'Исходные данные'!S11</f>
        <v>942</v>
      </c>
      <c r="I11" s="9" t="n">
        <f aca="false">'Исходные данные'!Z11</f>
        <v>3.47</v>
      </c>
      <c r="J11" s="8" t="n">
        <f aca="false">'Исходные данные'!U11</f>
        <v>2</v>
      </c>
      <c r="K11" s="6" t="s">
        <v>14</v>
      </c>
    </row>
    <row r="12" customFormat="false" ht="23.85" hidden="false" customHeight="false" outlineLevel="0" collapsed="false">
      <c r="A12" s="5" t="n">
        <v>8</v>
      </c>
      <c r="B12" s="5" t="str">
        <f aca="false">'Исходные данные'!B12</f>
        <v>UZ95-041-2026</v>
      </c>
      <c r="C12" s="5" t="str">
        <f aca="false">'Исходные данные'!H12</f>
        <v>Z10010403</v>
      </c>
      <c r="D12" s="6" t="str">
        <f aca="false">'Исходные данные'!K12</f>
        <v>ПЛАТА MVB(T) SICAS-T350</v>
      </c>
      <c r="E12" s="5" t="str">
        <f aca="false">'Исходные данные'!M12</f>
        <v>8542319010</v>
      </c>
      <c r="F12" s="7" t="n">
        <f aca="false">'Исходные данные'!N12</f>
        <v>1</v>
      </c>
      <c r="G12" s="5" t="str">
        <f aca="false">IF('Исходные данные'!P12="UN","шт",'Исходные данные'!P12)</f>
        <v>шт</v>
      </c>
      <c r="H12" s="8" t="n">
        <f aca="false">'Исходные данные'!S12</f>
        <v>185</v>
      </c>
      <c r="I12" s="9" t="n">
        <f aca="false">'Исходные данные'!Z12</f>
        <v>0.35</v>
      </c>
      <c r="J12" s="8" t="n">
        <f aca="false">'Исходные данные'!U12</f>
        <v>0.2</v>
      </c>
      <c r="K12" s="6" t="s">
        <v>14</v>
      </c>
    </row>
    <row r="13" customFormat="false" ht="23.85" hidden="false" customHeight="false" outlineLevel="0" collapsed="false">
      <c r="A13" s="5" t="n">
        <v>9</v>
      </c>
      <c r="B13" s="5" t="str">
        <f aca="false">'Исходные данные'!B13</f>
        <v>UZ95-041-2026</v>
      </c>
      <c r="C13" s="5" t="str">
        <f aca="false">'Исходные данные'!H13</f>
        <v>Z10010440</v>
      </c>
      <c r="D13" s="6" t="str">
        <f aca="false">'Исходные данные'!K13</f>
        <v>ПЛАТА ED1 SICAS-T350</v>
      </c>
      <c r="E13" s="5" t="str">
        <f aca="false">'Исходные данные'!M13</f>
        <v>8542319010</v>
      </c>
      <c r="F13" s="7" t="n">
        <f aca="false">'Исходные данные'!N13</f>
        <v>1</v>
      </c>
      <c r="G13" s="5" t="str">
        <f aca="false">IF('Исходные данные'!P13="UN","шт",'Исходные данные'!P13)</f>
        <v>шт</v>
      </c>
      <c r="H13" s="8" t="n">
        <f aca="false">'Исходные данные'!S13</f>
        <v>471</v>
      </c>
      <c r="I13" s="9" t="n">
        <f aca="false">'Исходные данные'!Z13</f>
        <v>0.43</v>
      </c>
      <c r="J13" s="8" t="n">
        <f aca="false">'Исходные данные'!U13</f>
        <v>0.25</v>
      </c>
      <c r="K13" s="6" t="s">
        <v>14</v>
      </c>
    </row>
    <row r="14" customFormat="false" ht="15" hidden="false" customHeight="false" outlineLevel="0" collapsed="false">
      <c r="A14" s="5" t="n">
        <v>10</v>
      </c>
      <c r="B14" s="5" t="str">
        <f aca="false">'Исходные данные'!B14</f>
        <v>UZ95-041-2026</v>
      </c>
      <c r="C14" s="5" t="str">
        <f aca="false">'Исходные данные'!H14</f>
        <v>Z5035563A</v>
      </c>
      <c r="D14" s="6" t="str">
        <f aca="false">'Исходные данные'!K14</f>
        <v>ДАТЧИК ДЫМА</v>
      </c>
      <c r="E14" s="5" t="str">
        <f aca="false">'Исходные данные'!M14</f>
        <v>8531109500</v>
      </c>
      <c r="F14" s="7" t="n">
        <f aca="false">'Исходные данные'!N14</f>
        <v>3</v>
      </c>
      <c r="G14" s="5" t="str">
        <f aca="false">IF('Исходные данные'!P14="UN","шт",'Исходные данные'!P14)</f>
        <v>шт</v>
      </c>
      <c r="H14" s="8" t="n">
        <f aca="false">'Исходные данные'!S14</f>
        <v>720</v>
      </c>
      <c r="I14" s="9" t="n">
        <f aca="false">'Исходные данные'!Z14</f>
        <v>2.08</v>
      </c>
      <c r="J14" s="8" t="n">
        <f aca="false">'Исходные данные'!U14</f>
        <v>1.2</v>
      </c>
      <c r="K14" s="6"/>
    </row>
    <row r="15" customFormat="false" ht="23.85" hidden="false" customHeight="false" outlineLevel="0" collapsed="false">
      <c r="A15" s="5" t="n">
        <v>11</v>
      </c>
      <c r="B15" s="5" t="str">
        <f aca="false">'Исходные данные'!B15</f>
        <v>UZ95-041-2026</v>
      </c>
      <c r="C15" s="5" t="str">
        <f aca="false">'Исходные данные'!H15</f>
        <v>Z615677</v>
      </c>
      <c r="D15" s="6" t="str">
        <f aca="false">'Исходные данные'!K15</f>
        <v>БЛОК СИСТЕМЫ АБС</v>
      </c>
      <c r="E15" s="5" t="str">
        <f aca="false">'Исходные данные'!M15</f>
        <v>9032810000</v>
      </c>
      <c r="F15" s="7" t="n">
        <f aca="false">'Исходные данные'!N15</f>
        <v>6</v>
      </c>
      <c r="G15" s="5" t="str">
        <f aca="false">IF('Исходные данные'!P15="UN","шт",'Исходные данные'!P15)</f>
        <v>шт</v>
      </c>
      <c r="H15" s="8" t="n">
        <f aca="false">'Исходные данные'!S15</f>
        <v>1872</v>
      </c>
      <c r="I15" s="9" t="n">
        <f aca="false">'Исходные данные'!Z15</f>
        <v>46.82</v>
      </c>
      <c r="J15" s="8" t="n">
        <f aca="false">'Исходные данные'!U15</f>
        <v>27</v>
      </c>
      <c r="K15" s="6" t="s">
        <v>15</v>
      </c>
    </row>
    <row r="16" customFormat="false" ht="15" hidden="false" customHeight="false" outlineLevel="0" collapsed="false">
      <c r="A16" s="5" t="n">
        <v>12</v>
      </c>
      <c r="B16" s="5" t="str">
        <f aca="false">'Исходные данные'!B16</f>
        <v>UZ95-042-2026</v>
      </c>
      <c r="C16" s="5" t="str">
        <f aca="false">'Исходные данные'!H16</f>
        <v>Z10063008</v>
      </c>
      <c r="D16" s="6" t="str">
        <f aca="false">'Исходные данные'!K16</f>
        <v>ЦИФРОВОЙ ИНКЛИНОМЕТР</v>
      </c>
      <c r="E16" s="5" t="str">
        <f aca="false">'Исходные данные'!M16</f>
        <v>9015900000</v>
      </c>
      <c r="F16" s="7" t="n">
        <f aca="false">'Исходные данные'!N16</f>
        <v>1</v>
      </c>
      <c r="G16" s="5" t="str">
        <f aca="false">IF('Исходные данные'!P16="UN","шт",'Исходные данные'!P16)</f>
        <v>шт</v>
      </c>
      <c r="H16" s="8" t="n">
        <f aca="false">'Исходные данные'!S16</f>
        <v>350</v>
      </c>
      <c r="I16" s="9" t="n">
        <f aca="false">'Исходные данные'!Z16</f>
        <v>0.67</v>
      </c>
      <c r="J16" s="8" t="n">
        <f aca="false">'Исходные данные'!U16</f>
        <v>0.5</v>
      </c>
      <c r="K16" s="6" t="s">
        <v>16</v>
      </c>
    </row>
    <row r="17" customFormat="false" ht="15" hidden="false" customHeight="false" outlineLevel="0" collapsed="false">
      <c r="A17" s="5" t="n">
        <v>13</v>
      </c>
      <c r="B17" s="5" t="str">
        <f aca="false">'Исходные данные'!B17</f>
        <v>UZ95-042-2026</v>
      </c>
      <c r="C17" s="5" t="str">
        <f aca="false">'Исходные данные'!H17</f>
        <v>Z5001430A</v>
      </c>
      <c r="D17" s="6" t="str">
        <f aca="false">'Исходные данные'!K17</f>
        <v>КАЛИБРАТОР ДЛЯ ИЗМЕРЕНИЯ ПРОФИЛЯ КОЛЕСА</v>
      </c>
      <c r="E17" s="5" t="str">
        <f aca="false">'Исходные данные'!M17</f>
        <v>9017300000</v>
      </c>
      <c r="F17" s="7" t="n">
        <f aca="false">'Исходные данные'!N17</f>
        <v>1</v>
      </c>
      <c r="G17" s="5" t="str">
        <f aca="false">IF('Исходные данные'!P17="UN","шт",'Исходные данные'!P17)</f>
        <v>шт</v>
      </c>
      <c r="H17" s="8" t="n">
        <f aca="false">'Исходные данные'!S17</f>
        <v>1550</v>
      </c>
      <c r="I17" s="9" t="n">
        <f aca="false">'Исходные данные'!Z17</f>
        <v>6.66</v>
      </c>
      <c r="J17" s="8" t="n">
        <f aca="false">'Исходные данные'!U17</f>
        <v>5</v>
      </c>
      <c r="K17" s="6"/>
    </row>
    <row r="18" customFormat="false" ht="23.85" hidden="false" customHeight="false" outlineLevel="0" collapsed="false">
      <c r="A18" s="5" t="n">
        <v>14</v>
      </c>
      <c r="B18" s="5" t="str">
        <f aca="false">'Исходные данные'!B18</f>
        <v>UZ95-042-2026</v>
      </c>
      <c r="C18" s="5" t="str">
        <f aca="false">'Исходные данные'!H18</f>
        <v>Z594470</v>
      </c>
      <c r="D18" s="6" t="str">
        <f aca="false">'Исходные данные'!K18</f>
        <v>КЛЕЩЕ (ПАТРОН) КАЛИБРОВОЧНЫЙ</v>
      </c>
      <c r="E18" s="5" t="str">
        <f aca="false">'Исходные данные'!M18</f>
        <v>9015900000</v>
      </c>
      <c r="F18" s="7" t="n">
        <f aca="false">'Исходные данные'!N18</f>
        <v>1</v>
      </c>
      <c r="G18" s="5" t="str">
        <f aca="false">IF('Исходные данные'!P18="UN","шт",'Исходные данные'!P18)</f>
        <v>шт</v>
      </c>
      <c r="H18" s="8" t="n">
        <f aca="false">'Исходные данные'!S18</f>
        <v>90</v>
      </c>
      <c r="I18" s="9" t="n">
        <f aca="false">'Исходные данные'!Z18</f>
        <v>2.67</v>
      </c>
      <c r="J18" s="8" t="n">
        <f aca="false">'Исходные данные'!U18</f>
        <v>2</v>
      </c>
      <c r="K18" s="6" t="s">
        <v>17</v>
      </c>
    </row>
    <row r="19" customFormat="false" ht="23.85" hidden="false" customHeight="false" outlineLevel="0" collapsed="false">
      <c r="A19" s="5" t="n">
        <v>15</v>
      </c>
      <c r="B19" s="5" t="str">
        <f aca="false">'Исходные данные'!B19</f>
        <v>UZ95-043-2026</v>
      </c>
      <c r="C19" s="5" t="str">
        <f aca="false">'Исходные данные'!H19</f>
        <v>Z10001801</v>
      </c>
      <c r="D19" s="6" t="str">
        <f aca="false">'Исходные данные'!K19</f>
        <v>МОДУЛЬ ВВОДА/ВЫВОДА ДАННЫХ</v>
      </c>
      <c r="E19" s="5" t="str">
        <f aca="false">'Исходные данные'!M19</f>
        <v>8542319010</v>
      </c>
      <c r="F19" s="7" t="n">
        <f aca="false">'Исходные данные'!N19</f>
        <v>1</v>
      </c>
      <c r="G19" s="5" t="str">
        <f aca="false">IF('Исходные данные'!P19="UN","шт",'Исходные данные'!P19)</f>
        <v>шт</v>
      </c>
      <c r="H19" s="8" t="n">
        <f aca="false">'Исходные данные'!S19</f>
        <v>347</v>
      </c>
      <c r="I19" s="9" t="n">
        <f aca="false">'Исходные данные'!Z19</f>
        <v>0.98</v>
      </c>
      <c r="J19" s="8" t="n">
        <f aca="false">'Исходные данные'!U19</f>
        <v>0.8</v>
      </c>
      <c r="K19" s="6" t="s">
        <v>14</v>
      </c>
    </row>
    <row r="20" customFormat="false" ht="23.85" hidden="false" customHeight="false" outlineLevel="0" collapsed="false">
      <c r="A20" s="5" t="n">
        <v>16</v>
      </c>
      <c r="B20" s="5" t="str">
        <f aca="false">'Исходные данные'!B20</f>
        <v>UZ95-043-2026</v>
      </c>
      <c r="C20" s="5" t="str">
        <f aca="false">'Исходные данные'!H20</f>
        <v>Z10014704</v>
      </c>
      <c r="D20" s="6" t="str">
        <f aca="false">'Исходные данные'!K20</f>
        <v>ЭЛЕКТРОНУМАТИЧЕСКИЙ МОДУЛЯТОР (ЭПМ)</v>
      </c>
      <c r="E20" s="5" t="str">
        <f aca="false">'Исходные данные'!M20</f>
        <v>8607998000</v>
      </c>
      <c r="F20" s="7" t="n">
        <f aca="false">'Исходные данные'!N20</f>
        <v>1</v>
      </c>
      <c r="G20" s="5" t="str">
        <f aca="false">IF('Исходные данные'!P20="UN","шт",'Исходные данные'!P20)</f>
        <v>шт</v>
      </c>
      <c r="H20" s="8" t="n">
        <f aca="false">'Исходные данные'!S20</f>
        <v>735.92</v>
      </c>
      <c r="I20" s="9" t="n">
        <f aca="false">'Исходные данные'!Z20</f>
        <v>2.94</v>
      </c>
      <c r="J20" s="8" t="n">
        <f aca="false">'Исходные данные'!U20</f>
        <v>2.4</v>
      </c>
      <c r="K20" s="6" t="s">
        <v>18</v>
      </c>
    </row>
    <row r="21" customFormat="false" ht="15" hidden="false" customHeight="false" outlineLevel="0" collapsed="false">
      <c r="A21" s="5" t="n">
        <v>17</v>
      </c>
      <c r="B21" s="5" t="str">
        <f aca="false">'Исходные данные'!B21</f>
        <v>UZ95-043-2026</v>
      </c>
      <c r="C21" s="5" t="str">
        <f aca="false">'Исходные данные'!H21</f>
        <v>Z10014705</v>
      </c>
      <c r="D21" s="6" t="str">
        <f aca="false">'Исходные данные'!K21</f>
        <v>ЕВРОТРОЛЬ (РЕГУЛ.ТОРМ.СИСТЕМЫ)</v>
      </c>
      <c r="E21" s="5" t="str">
        <f aca="false">'Исходные данные'!M21</f>
        <v>8607219000</v>
      </c>
      <c r="F21" s="7" t="n">
        <f aca="false">'Исходные данные'!N21</f>
        <v>3</v>
      </c>
      <c r="G21" s="5" t="str">
        <f aca="false">IF('Исходные данные'!P21="UN","шт",'Исходные данные'!P21)</f>
        <v>шт</v>
      </c>
      <c r="H21" s="8" t="n">
        <f aca="false">'Исходные данные'!S21</f>
        <v>2850</v>
      </c>
      <c r="I21" s="9" t="n">
        <f aca="false">'Исходные данные'!Z21</f>
        <v>95.63</v>
      </c>
      <c r="J21" s="8" t="n">
        <f aca="false">'Исходные данные'!U21</f>
        <v>78</v>
      </c>
      <c r="K21" s="6"/>
    </row>
    <row r="22" customFormat="false" ht="15" hidden="false" customHeight="false" outlineLevel="0" collapsed="false">
      <c r="A22" s="5" t="n">
        <v>18</v>
      </c>
      <c r="B22" s="5" t="str">
        <f aca="false">'Исходные данные'!B22</f>
        <v>UZ95-043-2026</v>
      </c>
      <c r="C22" s="5" t="str">
        <f aca="false">'Исходные данные'!H22</f>
        <v>Z10014712</v>
      </c>
      <c r="D22" s="6" t="str">
        <f aca="false">'Исходные данные'!K22</f>
        <v>РЕЛЕ КЛАПАНА ДАВЛЕНИЯ</v>
      </c>
      <c r="E22" s="5" t="str">
        <f aca="false">'Исходные данные'!M22</f>
        <v>8536490000</v>
      </c>
      <c r="F22" s="7" t="n">
        <f aca="false">'Исходные данные'!N22</f>
        <v>1</v>
      </c>
      <c r="G22" s="5" t="str">
        <f aca="false">IF('Исходные данные'!P22="UN","шт",'Исходные данные'!P22)</f>
        <v>шт</v>
      </c>
      <c r="H22" s="8" t="n">
        <f aca="false">'Исходные данные'!S22</f>
        <v>841.71</v>
      </c>
      <c r="I22" s="9" t="n">
        <f aca="false">'Исходные данные'!Z22</f>
        <v>8.58</v>
      </c>
      <c r="J22" s="8" t="n">
        <f aca="false">'Исходные данные'!U22</f>
        <v>7</v>
      </c>
      <c r="K22" s="6"/>
    </row>
    <row r="23" customFormat="false" ht="15" hidden="false" customHeight="false" outlineLevel="0" collapsed="false">
      <c r="A23" s="5" t="n">
        <v>19</v>
      </c>
      <c r="B23" s="5" t="str">
        <f aca="false">'Исходные данные'!B23</f>
        <v>UZ95-043-2026</v>
      </c>
      <c r="C23" s="5" t="str">
        <f aca="false">'Исходные данные'!H23</f>
        <v>Z10016893</v>
      </c>
      <c r="D23" s="6" t="str">
        <f aca="false">'Исходные данные'!K23</f>
        <v>ДИСТРИБЬЮТОР SW4</v>
      </c>
      <c r="E23" s="5" t="str">
        <f aca="false">'Исходные данные'!M23</f>
        <v>8607219000</v>
      </c>
      <c r="F23" s="7" t="n">
        <f aca="false">'Исходные данные'!N23</f>
        <v>2</v>
      </c>
      <c r="G23" s="5" t="str">
        <f aca="false">IF('Исходные данные'!P23="UN","шт",'Исходные данные'!P23)</f>
        <v>шт</v>
      </c>
      <c r="H23" s="8" t="n">
        <f aca="false">'Исходные данные'!S23</f>
        <v>1181.3</v>
      </c>
      <c r="I23" s="9" t="n">
        <f aca="false">'Исходные данные'!Z23</f>
        <v>31.87</v>
      </c>
      <c r="J23" s="8" t="n">
        <f aca="false">'Исходные данные'!U23</f>
        <v>26</v>
      </c>
      <c r="K23" s="6"/>
    </row>
    <row r="24" customFormat="false" ht="23.85" hidden="false" customHeight="false" outlineLevel="0" collapsed="false">
      <c r="A24" s="5" t="n">
        <v>20</v>
      </c>
      <c r="B24" s="5" t="str">
        <f aca="false">'Исходные данные'!B24</f>
        <v>UZ95-043-2026</v>
      </c>
      <c r="C24" s="5" t="str">
        <f aca="false">'Исходные данные'!H24</f>
        <v>Z10030325</v>
      </c>
      <c r="D24" s="6" t="str">
        <f aca="false">'Исходные данные'!K24</f>
        <v>ПЛАТА DPI 1</v>
      </c>
      <c r="E24" s="5" t="str">
        <f aca="false">'Исходные данные'!M24</f>
        <v>8542319010</v>
      </c>
      <c r="F24" s="7" t="n">
        <f aca="false">'Исходные данные'!N24</f>
        <v>2</v>
      </c>
      <c r="G24" s="5" t="str">
        <f aca="false">IF('Исходные данные'!P24="UN","шт",'Исходные данные'!P24)</f>
        <v>шт</v>
      </c>
      <c r="H24" s="8" t="n">
        <f aca="false">'Исходные данные'!S24</f>
        <v>942</v>
      </c>
      <c r="I24" s="9" t="n">
        <f aca="false">'Исходные данные'!Z24</f>
        <v>0.49</v>
      </c>
      <c r="J24" s="8" t="n">
        <f aca="false">'Исходные данные'!U24</f>
        <v>0.4</v>
      </c>
      <c r="K24" s="6" t="s">
        <v>14</v>
      </c>
    </row>
    <row r="25" customFormat="false" ht="23.85" hidden="false" customHeight="false" outlineLevel="0" collapsed="false">
      <c r="A25" s="5" t="n">
        <v>21</v>
      </c>
      <c r="B25" s="5" t="str">
        <f aca="false">'Исходные данные'!B25</f>
        <v>UZ95-043-2026</v>
      </c>
      <c r="C25" s="5" t="str">
        <f aca="false">'Исходные данные'!H25</f>
        <v>Z10035917</v>
      </c>
      <c r="D25" s="6" t="str">
        <f aca="false">'Исходные данные'!K25</f>
        <v>ПЛАТА ТЕМПЕРАТУРЫ (PT100)</v>
      </c>
      <c r="E25" s="5" t="str">
        <f aca="false">'Исходные данные'!M25</f>
        <v>8531109500</v>
      </c>
      <c r="F25" s="7" t="n">
        <f aca="false">'Исходные данные'!N25</f>
        <v>1</v>
      </c>
      <c r="G25" s="5" t="str">
        <f aca="false">IF('Исходные данные'!P25="UN","шт",'Исходные данные'!P25)</f>
        <v>шт</v>
      </c>
      <c r="H25" s="8" t="n">
        <f aca="false">'Исходные данные'!S25</f>
        <v>386.02</v>
      </c>
      <c r="I25" s="9" t="n">
        <f aca="false">'Исходные данные'!Z25</f>
        <v>0.25</v>
      </c>
      <c r="J25" s="8" t="n">
        <f aca="false">'Исходные данные'!U25</f>
        <v>0.2</v>
      </c>
      <c r="K25" s="6" t="s">
        <v>19</v>
      </c>
    </row>
    <row r="26" customFormat="false" ht="15" hidden="false" customHeight="false" outlineLevel="0" collapsed="false">
      <c r="A26" s="5" t="n">
        <v>22</v>
      </c>
      <c r="B26" s="5" t="str">
        <f aca="false">'Исходные данные'!B26</f>
        <v>UZ95-043-2026</v>
      </c>
      <c r="C26" s="5" t="str">
        <f aca="false">'Исходные данные'!H26</f>
        <v>Z10035979</v>
      </c>
      <c r="D26" s="6" t="str">
        <f aca="false">'Исходные данные'!K26</f>
        <v>КОНТАКТОР 100A 4000V</v>
      </c>
      <c r="E26" s="5" t="str">
        <f aca="false">'Исходные данные'!M26</f>
        <v>8536490000</v>
      </c>
      <c r="F26" s="7" t="n">
        <f aca="false">'Исходные данные'!N26</f>
        <v>1</v>
      </c>
      <c r="G26" s="5" t="str">
        <f aca="false">IF('Исходные данные'!P26="UN","шт",'Исходные данные'!P26)</f>
        <v>шт</v>
      </c>
      <c r="H26" s="8" t="n">
        <f aca="false">'Исходные данные'!S26</f>
        <v>204</v>
      </c>
      <c r="I26" s="9" t="n">
        <f aca="false">'Исходные данные'!Z26</f>
        <v>8.58</v>
      </c>
      <c r="J26" s="8" t="n">
        <f aca="false">'Исходные данные'!U26</f>
        <v>7</v>
      </c>
      <c r="K26" s="6" t="s">
        <v>20</v>
      </c>
    </row>
    <row r="27" customFormat="false" ht="15" hidden="false" customHeight="false" outlineLevel="0" collapsed="false">
      <c r="A27" s="5" t="n">
        <v>23</v>
      </c>
      <c r="B27" s="5" t="str">
        <f aca="false">'Исходные данные'!B27</f>
        <v>UZ95-043-2026</v>
      </c>
      <c r="C27" s="5" t="str">
        <f aca="false">'Исходные данные'!H27</f>
        <v>Z10037362</v>
      </c>
      <c r="D27" s="6" t="str">
        <f aca="false">'Исходные данные'!K27</f>
        <v>БЛОК ПИТАНИЯ CPCI TEAM</v>
      </c>
      <c r="E27" s="5" t="str">
        <f aca="false">'Исходные данные'!M27</f>
        <v>8504409000</v>
      </c>
      <c r="F27" s="7" t="n">
        <f aca="false">'Исходные данные'!N27</f>
        <v>4</v>
      </c>
      <c r="G27" s="5" t="str">
        <f aca="false">IF('Исходные данные'!P27="UN","шт",'Исходные данные'!P27)</f>
        <v>шт</v>
      </c>
      <c r="H27" s="8" t="n">
        <f aca="false">'Исходные данные'!S27</f>
        <v>1987</v>
      </c>
      <c r="I27" s="9" t="n">
        <f aca="false">'Исходные данные'!Z27</f>
        <v>3.92</v>
      </c>
      <c r="J27" s="8" t="n">
        <f aca="false">'Исходные данные'!U27</f>
        <v>3.2</v>
      </c>
      <c r="K27" s="6"/>
    </row>
    <row r="28" customFormat="false" ht="23.85" hidden="false" customHeight="false" outlineLevel="0" collapsed="false">
      <c r="A28" s="5" t="n">
        <v>24</v>
      </c>
      <c r="B28" s="5" t="str">
        <f aca="false">'Исходные данные'!B28</f>
        <v>UZ95-043-2026</v>
      </c>
      <c r="C28" s="5" t="str">
        <f aca="false">'Исходные данные'!H28</f>
        <v>Z10037794</v>
      </c>
      <c r="D28" s="6" t="str">
        <f aca="false">'Исходные данные'!K28</f>
        <v>МОДУЛЬ 12 ВВОДА ДАННЫХ PT100</v>
      </c>
      <c r="E28" s="5" t="str">
        <f aca="false">'Исходные данные'!M28</f>
        <v>8542319010</v>
      </c>
      <c r="F28" s="7" t="n">
        <f aca="false">'Исходные данные'!N28</f>
        <v>1</v>
      </c>
      <c r="G28" s="5" t="str">
        <f aca="false">IF('Исходные данные'!P28="UN","шт",'Исходные данные'!P28)</f>
        <v>шт</v>
      </c>
      <c r="H28" s="8" t="n">
        <f aca="false">'Исходные данные'!S28</f>
        <v>497.2</v>
      </c>
      <c r="I28" s="9" t="n">
        <f aca="false">'Исходные данные'!Z28</f>
        <v>0.49</v>
      </c>
      <c r="J28" s="8" t="n">
        <f aca="false">'Исходные данные'!U28</f>
        <v>0.4</v>
      </c>
      <c r="K28" s="6" t="s">
        <v>14</v>
      </c>
    </row>
    <row r="29" customFormat="false" ht="15" hidden="false" customHeight="false" outlineLevel="0" collapsed="false">
      <c r="A29" s="5" t="n">
        <v>25</v>
      </c>
      <c r="B29" s="5" t="str">
        <f aca="false">'Исходные данные'!B29</f>
        <v>UZ95-043-2026</v>
      </c>
      <c r="C29" s="5" t="str">
        <f aca="false">'Исходные данные'!H29</f>
        <v>Z10050907</v>
      </c>
      <c r="D29" s="6" t="str">
        <f aca="false">'Исходные данные'!K29</f>
        <v>МОДУЛЬ 4 IGBTS</v>
      </c>
      <c r="E29" s="5" t="str">
        <f aca="false">'Исходные данные'!M29</f>
        <v>8504408400</v>
      </c>
      <c r="F29" s="7" t="n">
        <f aca="false">'Исходные данные'!N29</f>
        <v>2</v>
      </c>
      <c r="G29" s="5" t="str">
        <f aca="false">IF('Исходные данные'!P29="UN","шт",'Исходные данные'!P29)</f>
        <v>шт</v>
      </c>
      <c r="H29" s="8" t="n">
        <f aca="false">'Исходные данные'!S29</f>
        <v>2400</v>
      </c>
      <c r="I29" s="9" t="n">
        <f aca="false">'Исходные данные'!Z29</f>
        <v>76</v>
      </c>
      <c r="J29" s="8" t="n">
        <f aca="false">'Исходные данные'!U29</f>
        <v>62</v>
      </c>
      <c r="K29" s="6"/>
    </row>
    <row r="30" customFormat="false" ht="15" hidden="false" customHeight="false" outlineLevel="0" collapsed="false">
      <c r="A30" s="5" t="n">
        <v>26</v>
      </c>
      <c r="B30" s="5" t="str">
        <f aca="false">'Исходные данные'!B30</f>
        <v>UZ95-043-2026</v>
      </c>
      <c r="C30" s="5" t="str">
        <f aca="false">'Исходные данные'!H30</f>
        <v>Z10060936</v>
      </c>
      <c r="D30" s="6" t="str">
        <f aca="false">'Исходные данные'!K30</f>
        <v>ЭЛЕКТРОКЛАПАН 21C</v>
      </c>
      <c r="E30" s="5" t="str">
        <f aca="false">'Исходные данные'!M30</f>
        <v>8481807399</v>
      </c>
      <c r="F30" s="7" t="n">
        <f aca="false">'Исходные данные'!N30</f>
        <v>1</v>
      </c>
      <c r="G30" s="5" t="str">
        <f aca="false">IF('Исходные данные'!P30="UN","шт",'Исходные данные'!P30)</f>
        <v>шт</v>
      </c>
      <c r="H30" s="8" t="n">
        <f aca="false">'Исходные данные'!S30</f>
        <v>845</v>
      </c>
      <c r="I30" s="9" t="n">
        <f aca="false">'Исходные данные'!Z30</f>
        <v>2.45</v>
      </c>
      <c r="J30" s="8" t="n">
        <f aca="false">'Исходные данные'!U30</f>
        <v>2</v>
      </c>
      <c r="K30" s="6"/>
    </row>
    <row r="31" customFormat="false" ht="23.85" hidden="false" customHeight="false" outlineLevel="0" collapsed="false">
      <c r="A31" s="5" t="n">
        <v>27</v>
      </c>
      <c r="B31" s="5" t="str">
        <f aca="false">'Исходные данные'!B31</f>
        <v>UZ95-043-2026</v>
      </c>
      <c r="C31" s="5" t="str">
        <f aca="false">'Исходные данные'!H31</f>
        <v>Z10062945</v>
      </c>
      <c r="D31" s="6" t="str">
        <f aca="false">'Исходные данные'!K31</f>
        <v>ПЛАТА ИЗМЕРИТЕЛЬНАЯ</v>
      </c>
      <c r="E31" s="5" t="str">
        <f aca="false">'Исходные данные'!M31</f>
        <v>8542319010</v>
      </c>
      <c r="F31" s="7" t="n">
        <f aca="false">'Исходные данные'!N31</f>
        <v>1</v>
      </c>
      <c r="G31" s="5" t="str">
        <f aca="false">IF('Исходные данные'!P31="UN","шт",'Исходные данные'!P31)</f>
        <v>шт</v>
      </c>
      <c r="H31" s="8" t="n">
        <f aca="false">'Исходные данные'!S31</f>
        <v>350</v>
      </c>
      <c r="I31" s="9" t="n">
        <f aca="false">'Исходные данные'!Z31</f>
        <v>0.37</v>
      </c>
      <c r="J31" s="8" t="n">
        <f aca="false">'Исходные данные'!U31</f>
        <v>0.3</v>
      </c>
      <c r="K31" s="6" t="s">
        <v>14</v>
      </c>
    </row>
    <row r="32" customFormat="false" ht="15" hidden="false" customHeight="false" outlineLevel="0" collapsed="false">
      <c r="A32" s="5" t="n">
        <v>28</v>
      </c>
      <c r="B32" s="5" t="str">
        <f aca="false">'Исходные данные'!B32</f>
        <v>UZ95-043-2026</v>
      </c>
      <c r="C32" s="5" t="str">
        <f aca="false">'Исходные данные'!H32</f>
        <v>Z5039543A</v>
      </c>
      <c r="D32" s="6" t="str">
        <f aca="false">'Исходные данные'!K32</f>
        <v>ЦЕНТРАЛЬНАЯ ПАНЕЛЬ УПРАВЛЕНИЯ</v>
      </c>
      <c r="E32" s="5" t="str">
        <f aca="false">'Исходные данные'!M32</f>
        <v>8537109900</v>
      </c>
      <c r="F32" s="7" t="n">
        <f aca="false">'Исходные данные'!N32</f>
        <v>1</v>
      </c>
      <c r="G32" s="5" t="str">
        <f aca="false">IF('Исходные данные'!P32="UN","шт",'Исходные данные'!P32)</f>
        <v>шт</v>
      </c>
      <c r="H32" s="10" t="n">
        <f aca="false">'Исходные данные'!S32</f>
        <v>148.56</v>
      </c>
      <c r="I32" s="9" t="n">
        <f aca="false">'Исходные данные'!Z32</f>
        <v>2.45</v>
      </c>
      <c r="J32" s="8" t="n">
        <f aca="false">'Исходные данные'!U32</f>
        <v>2</v>
      </c>
      <c r="K32" s="6" t="s">
        <v>21</v>
      </c>
    </row>
    <row r="33" customFormat="false" ht="23.85" hidden="false" customHeight="false" outlineLevel="0" collapsed="false">
      <c r="A33" s="5" t="n">
        <v>29</v>
      </c>
      <c r="B33" s="5" t="str">
        <f aca="false">'Исходные данные'!B33</f>
        <v>UZ95-044-2026</v>
      </c>
      <c r="C33" s="5" t="str">
        <f aca="false">'Исходные данные'!H33</f>
        <v>Z10010755</v>
      </c>
      <c r="D33" s="6" t="str">
        <f aca="false">'Исходные данные'!K33</f>
        <v>АМОРТИЗАТОР 130,730,102,112</v>
      </c>
      <c r="E33" s="5" t="str">
        <f aca="false">'Исходные данные'!M33</f>
        <v>8607919000</v>
      </c>
      <c r="F33" s="7" t="n">
        <f aca="false">'Исходные данные'!N33</f>
        <v>19</v>
      </c>
      <c r="G33" s="5" t="str">
        <f aca="false">IF('Исходные данные'!P33="UN","шт",'Исходные данные'!P33)</f>
        <v>шт</v>
      </c>
      <c r="H33" s="8" t="n">
        <f aca="false">'Исходные данные'!S33</f>
        <v>760</v>
      </c>
      <c r="I33" s="9" t="n">
        <f aca="false">'Исходные данные'!Z33</f>
        <v>242.41</v>
      </c>
      <c r="J33" s="8" t="n">
        <f aca="false">'Исходные данные'!U33</f>
        <v>228</v>
      </c>
      <c r="K33" s="6" t="s">
        <v>22</v>
      </c>
    </row>
    <row r="34" customFormat="false" ht="15" hidden="false" customHeight="false" outlineLevel="0" collapsed="false">
      <c r="A34" s="5" t="n">
        <v>30</v>
      </c>
      <c r="B34" s="5" t="str">
        <f aca="false">'Исходные данные'!B34</f>
        <v>UZ95-044-2026</v>
      </c>
      <c r="C34" s="5" t="str">
        <f aca="false">'Исходные данные'!H34</f>
        <v>Z5040584A</v>
      </c>
      <c r="D34" s="6" t="str">
        <f aca="false">'Исходные данные'!K34</f>
        <v>АМОРТИЗАТОР 130</v>
      </c>
      <c r="E34" s="5" t="str">
        <f aca="false">'Исходные данные'!M34</f>
        <v>8607199000</v>
      </c>
      <c r="F34" s="7" t="n">
        <f aca="false">'Исходные данные'!N34</f>
        <v>10</v>
      </c>
      <c r="G34" s="5" t="str">
        <f aca="false">IF('Исходные данные'!P34="UN","шт",'Исходные данные'!P34)</f>
        <v>шт</v>
      </c>
      <c r="H34" s="8" t="n">
        <f aca="false">'Исходные данные'!S34</f>
        <v>390</v>
      </c>
      <c r="I34" s="9" t="n">
        <f aca="false">'Исходные данные'!Z34</f>
        <v>127.59</v>
      </c>
      <c r="J34" s="8" t="n">
        <f aca="false">'Исходные данные'!U34</f>
        <v>120</v>
      </c>
      <c r="K34" s="6"/>
    </row>
    <row r="35" customFormat="false" ht="15" hidden="false" customHeight="false" outlineLevel="0" collapsed="false">
      <c r="A35" s="5" t="n">
        <v>31</v>
      </c>
      <c r="B35" s="5" t="str">
        <f aca="false">'Исходные данные'!B35</f>
        <v>UZ95-045-2026</v>
      </c>
      <c r="C35" s="5" t="str">
        <f aca="false">'Исходные данные'!H35</f>
        <v>Z5024835A</v>
      </c>
      <c r="D35" s="6" t="str">
        <f aca="false">'Исходные данные'!K35</f>
        <v>АМОРТИЗАТОР-ГАСИТЕЛЬ УГЛОВЫХ КОЛЕБАНИЙ</v>
      </c>
      <c r="E35" s="5" t="str">
        <f aca="false">'Исходные данные'!M35</f>
        <v>8607199000</v>
      </c>
      <c r="F35" s="7" t="n">
        <f aca="false">'Исходные данные'!N35</f>
        <v>2</v>
      </c>
      <c r="G35" s="5" t="str">
        <f aca="false">IF('Исходные данные'!P35="UN","шт",'Исходные данные'!P35)</f>
        <v>шт</v>
      </c>
      <c r="H35" s="8" t="n">
        <f aca="false">'Исходные данные'!S35</f>
        <v>167.54</v>
      </c>
      <c r="I35" s="9" t="n">
        <f aca="false">'Исходные данные'!Z35</f>
        <v>48.15</v>
      </c>
      <c r="J35" s="8" t="n">
        <f aca="false">'Исходные данные'!U35</f>
        <v>46</v>
      </c>
      <c r="K35" s="6"/>
    </row>
    <row r="36" customFormat="false" ht="15" hidden="false" customHeight="false" outlineLevel="0" collapsed="false">
      <c r="A36" s="5" t="n">
        <v>32</v>
      </c>
      <c r="B36" s="5" t="str">
        <f aca="false">'Исходные данные'!B36</f>
        <v>UZ95-045-2026</v>
      </c>
      <c r="C36" s="5" t="str">
        <f aca="false">'Исходные данные'!H36</f>
        <v>Z5024837A</v>
      </c>
      <c r="D36" s="6" t="str">
        <f aca="false">'Исходные данные'!K36</f>
        <v>АМОРТИЗАТОР ПОДВЕСНОЙ (ВТОРИЧНЫЙ)</v>
      </c>
      <c r="E36" s="5" t="str">
        <f aca="false">'Исходные данные'!M36</f>
        <v>8607199000</v>
      </c>
      <c r="F36" s="7" t="n">
        <f aca="false">'Исходные данные'!N36</f>
        <v>2</v>
      </c>
      <c r="G36" s="5" t="str">
        <f aca="false">IF('Исходные данные'!P36="UN","шт",'Исходные данные'!P36)</f>
        <v>шт</v>
      </c>
      <c r="H36" s="8" t="n">
        <f aca="false">'Исходные данные'!S36</f>
        <v>144</v>
      </c>
      <c r="I36" s="9" t="n">
        <f aca="false">'Исходные данные'!Z36</f>
        <v>33.49</v>
      </c>
      <c r="J36" s="8" t="n">
        <f aca="false">'Исходные данные'!U36</f>
        <v>32</v>
      </c>
      <c r="K36" s="6"/>
    </row>
    <row r="37" customFormat="false" ht="15" hidden="false" customHeight="false" outlineLevel="0" collapsed="false">
      <c r="A37" s="5" t="n">
        <v>33</v>
      </c>
      <c r="B37" s="5" t="str">
        <f aca="false">'Исходные данные'!B37</f>
        <v>UZ95-045-2026</v>
      </c>
      <c r="C37" s="5" t="str">
        <f aca="false">'Исходные данные'!H37</f>
        <v>Z5050054A</v>
      </c>
      <c r="D37" s="6" t="str">
        <f aca="false">'Исходные данные'!K37</f>
        <v>ПОПЕРЕЧНЫЙ АНТИВИБРАЦИОННЫЙ АМОРТИЗАТОР</v>
      </c>
      <c r="E37" s="5" t="str">
        <f aca="false">'Исходные данные'!M37</f>
        <v>8607199000</v>
      </c>
      <c r="F37" s="7" t="n">
        <f aca="false">'Исходные данные'!N37</f>
        <v>1</v>
      </c>
      <c r="G37" s="5" t="str">
        <f aca="false">IF('Исходные данные'!P37="UN","шт",'Исходные данные'!P37)</f>
        <v>шт</v>
      </c>
      <c r="H37" s="8" t="n">
        <f aca="false">'Исходные данные'!S37</f>
        <v>47</v>
      </c>
      <c r="I37" s="9" t="n">
        <f aca="false">'Исходные данные'!Z37</f>
        <v>21.98</v>
      </c>
      <c r="J37" s="8" t="n">
        <f aca="false">'Исходные данные'!U37</f>
        <v>21</v>
      </c>
      <c r="K37" s="6"/>
    </row>
    <row r="38" customFormat="false" ht="23.85" hidden="false" customHeight="false" outlineLevel="0" collapsed="false">
      <c r="A38" s="5" t="n">
        <v>34</v>
      </c>
      <c r="B38" s="5" t="str">
        <f aca="false">'Исходные данные'!B38</f>
        <v>UZ95-045-2026</v>
      </c>
      <c r="C38" s="5" t="str">
        <f aca="false">'Исходные данные'!H38</f>
        <v>Z5050055A</v>
      </c>
      <c r="D38" s="6" t="str">
        <f aca="false">'Исходные данные'!K38</f>
        <v>ПОПЕРЕЧНЫЙ АНТИВИБРАЦИОННЫЙ АМОРТИЗАТОР</v>
      </c>
      <c r="E38" s="5" t="str">
        <f aca="false">'Исходные данные'!M38</f>
        <v>8607919000</v>
      </c>
      <c r="F38" s="7" t="n">
        <f aca="false">'Исходные данные'!N38</f>
        <v>1</v>
      </c>
      <c r="G38" s="5" t="str">
        <f aca="false">IF('Исходные данные'!P38="UN","шт",'Исходные данные'!P38)</f>
        <v>шт</v>
      </c>
      <c r="H38" s="8" t="n">
        <f aca="false">'Исходные данные'!S38</f>
        <v>47</v>
      </c>
      <c r="I38" s="9" t="n">
        <f aca="false">'Исходные данные'!Z38</f>
        <v>24.07</v>
      </c>
      <c r="J38" s="8" t="n">
        <f aca="false">'Исходные данные'!U38</f>
        <v>23</v>
      </c>
      <c r="K38" s="6" t="s">
        <v>23</v>
      </c>
    </row>
    <row r="39" customFormat="false" ht="15" hidden="false" customHeight="false" outlineLevel="0" collapsed="false">
      <c r="A39" s="5" t="n">
        <v>35</v>
      </c>
      <c r="B39" s="5" t="str">
        <f aca="false">'Исходные данные'!B39</f>
        <v>UZ95-045-2026</v>
      </c>
      <c r="C39" s="5" t="str">
        <f aca="false">'Исходные данные'!H39</f>
        <v>Z5050057A</v>
      </c>
      <c r="D39" s="6" t="str">
        <f aca="false">'Исходные данные'!K39</f>
        <v>ПОПЕРЕЧНЫЙ АНТИВИБРАЦИОННЫЙ АМОРТИЗАТОР</v>
      </c>
      <c r="E39" s="5" t="str">
        <f aca="false">'Исходные данные'!M39</f>
        <v>8607199000</v>
      </c>
      <c r="F39" s="7" t="n">
        <f aca="false">'Исходные данные'!N39</f>
        <v>2</v>
      </c>
      <c r="G39" s="5" t="str">
        <f aca="false">IF('Исходные данные'!P39="UN","шт",'Исходные данные'!P39)</f>
        <v>шт</v>
      </c>
      <c r="H39" s="8" t="n">
        <f aca="false">'Исходные данные'!S39</f>
        <v>178</v>
      </c>
      <c r="I39" s="9" t="n">
        <f aca="false">'Исходные данные'!Z39</f>
        <v>62.8</v>
      </c>
      <c r="J39" s="8" t="n">
        <f aca="false">'Исходные данные'!U39</f>
        <v>60</v>
      </c>
      <c r="K39" s="6"/>
    </row>
    <row r="40" customFormat="false" ht="15" hidden="false" customHeight="false" outlineLevel="0" collapsed="false">
      <c r="A40" s="5" t="n">
        <v>36</v>
      </c>
      <c r="B40" s="5" t="str">
        <f aca="false">'Исходные данные'!B40</f>
        <v>UZ95-045-2026</v>
      </c>
      <c r="C40" s="5" t="str">
        <f aca="false">'Исходные данные'!H40</f>
        <v>Z5050058A</v>
      </c>
      <c r="D40" s="6" t="str">
        <f aca="false">'Исходные данные'!K40</f>
        <v>ПОПЕРЕЧНЫЙ АНТИВИБРАЦИОННЫЙ АМОРТИЗАТОР</v>
      </c>
      <c r="E40" s="5" t="str">
        <f aca="false">'Исходные данные'!M40</f>
        <v>8607199000</v>
      </c>
      <c r="F40" s="7" t="n">
        <f aca="false">'Исходные данные'!N40</f>
        <v>2</v>
      </c>
      <c r="G40" s="5" t="str">
        <f aca="false">IF('Исходные данные'!P40="UN","шт",'Исходные данные'!P40)</f>
        <v>шт</v>
      </c>
      <c r="H40" s="8" t="n">
        <f aca="false">'Исходные данные'!S40</f>
        <v>178</v>
      </c>
      <c r="I40" s="9" t="n">
        <f aca="false">'Исходные данные'!Z40</f>
        <v>62.8</v>
      </c>
      <c r="J40" s="8" t="n">
        <f aca="false">'Исходные данные'!U40</f>
        <v>60</v>
      </c>
      <c r="K40" s="6"/>
    </row>
    <row r="41" customFormat="false" ht="15" hidden="false" customHeight="false" outlineLevel="0" collapsed="false">
      <c r="A41" s="5" t="n">
        <v>37</v>
      </c>
      <c r="B41" s="5" t="str">
        <f aca="false">'Исходные данные'!B41</f>
        <v>UZ95-045-2026</v>
      </c>
      <c r="C41" s="5" t="str">
        <f aca="false">'Исходные данные'!H41</f>
        <v>Z5052776A</v>
      </c>
      <c r="D41" s="6" t="str">
        <f aca="false">'Исходные данные'!K41</f>
        <v>АМОРТИЗАТОР ПОДВЕСНОЙ (ПЕРВИЧНЫЙ)</v>
      </c>
      <c r="E41" s="5" t="str">
        <f aca="false">'Исходные данные'!M41</f>
        <v>8607199000</v>
      </c>
      <c r="F41" s="7" t="n">
        <f aca="false">'Исходные данные'!N41</f>
        <v>10</v>
      </c>
      <c r="G41" s="5" t="str">
        <f aca="false">IF('Исходные данные'!P41="UN","шт",'Исходные данные'!P41)</f>
        <v>шт</v>
      </c>
      <c r="H41" s="8" t="n">
        <f aca="false">'Исходные данные'!S41</f>
        <v>350</v>
      </c>
      <c r="I41" s="9" t="n">
        <f aca="false">'Исходные данные'!Z41</f>
        <v>125.59</v>
      </c>
      <c r="J41" s="8" t="n">
        <f aca="false">'Исходные данные'!U41</f>
        <v>120</v>
      </c>
      <c r="K41" s="6"/>
    </row>
    <row r="42" customFormat="false" ht="15" hidden="false" customHeight="false" outlineLevel="0" collapsed="false">
      <c r="A42" s="5" t="n">
        <v>38</v>
      </c>
      <c r="B42" s="5" t="str">
        <f aca="false">'Исходные данные'!B42</f>
        <v>UZ95-045-2026</v>
      </c>
      <c r="C42" s="5" t="str">
        <f aca="false">'Исходные данные'!H42</f>
        <v>Z5172926A</v>
      </c>
      <c r="D42" s="6" t="str">
        <f aca="false">'Исходные данные'!K42</f>
        <v>АМОРТИЗАТОР</v>
      </c>
      <c r="E42" s="5" t="str">
        <f aca="false">'Исходные данные'!M42</f>
        <v>8607919000</v>
      </c>
      <c r="F42" s="7" t="n">
        <f aca="false">'Исходные данные'!N42</f>
        <v>1</v>
      </c>
      <c r="G42" s="5" t="str">
        <f aca="false">IF('Исходные данные'!P42="UN","шт",'Исходные данные'!P42)</f>
        <v>шт</v>
      </c>
      <c r="H42" s="8" t="n">
        <f aca="false">'Исходные данные'!S42</f>
        <v>35</v>
      </c>
      <c r="I42" s="9" t="n">
        <f aca="false">'Исходные данные'!Z42</f>
        <v>20.93</v>
      </c>
      <c r="J42" s="8" t="n">
        <f aca="false">'Исходные данные'!U42</f>
        <v>20</v>
      </c>
      <c r="K42" s="6" t="s">
        <v>24</v>
      </c>
    </row>
    <row r="43" customFormat="false" ht="15" hidden="false" customHeight="false" outlineLevel="0" collapsed="false">
      <c r="A43" s="5" t="n">
        <v>39</v>
      </c>
      <c r="B43" s="5" t="str">
        <f aca="false">'Исходные данные'!B43</f>
        <v>UZ95-045-2026</v>
      </c>
      <c r="C43" s="5" t="str">
        <f aca="false">'Исходные данные'!H43</f>
        <v>Z5192559A</v>
      </c>
      <c r="D43" s="6" t="str">
        <f aca="false">'Исходные данные'!K43</f>
        <v>УРОВНЕВЫЙ КЛАПАН, F069</v>
      </c>
      <c r="E43" s="5" t="str">
        <f aca="false">'Исходные данные'!M43</f>
        <v>8481101908</v>
      </c>
      <c r="F43" s="7" t="n">
        <f aca="false">'Исходные данные'!N43</f>
        <v>16</v>
      </c>
      <c r="G43" s="5" t="str">
        <f aca="false">IF('Исходные данные'!P43="UN","шт",'Исходные данные'!P43)</f>
        <v>шт</v>
      </c>
      <c r="H43" s="8" t="n">
        <f aca="false">'Исходные данные'!S43</f>
        <v>2208</v>
      </c>
      <c r="I43" s="9" t="n">
        <f aca="false">'Исходные данные'!Z43</f>
        <v>41.87</v>
      </c>
      <c r="J43" s="8" t="n">
        <f aca="false">'Исходные данные'!U43</f>
        <v>40</v>
      </c>
      <c r="K43" s="6"/>
    </row>
    <row r="44" customFormat="false" ht="15" hidden="false" customHeight="false" outlineLevel="0" collapsed="false">
      <c r="A44" s="5" t="n">
        <v>40</v>
      </c>
      <c r="B44" s="5" t="str">
        <f aca="false">'Исходные данные'!B44</f>
        <v>UZ95-045-2026</v>
      </c>
      <c r="C44" s="5" t="str">
        <f aca="false">'Исходные данные'!H44</f>
        <v>Z5192559B</v>
      </c>
      <c r="D44" s="6" t="str">
        <f aca="false">'Исходные данные'!K44</f>
        <v>УРОВНЕВЫЙ КЛАПАН, F069</v>
      </c>
      <c r="E44" s="5" t="str">
        <f aca="false">'Исходные данные'!M44</f>
        <v>8481101908</v>
      </c>
      <c r="F44" s="7" t="n">
        <f aca="false">'Исходные данные'!N44</f>
        <v>7</v>
      </c>
      <c r="G44" s="5" t="str">
        <f aca="false">IF('Исходные данные'!P44="UN","шт",'Исходные данные'!P44)</f>
        <v>шт</v>
      </c>
      <c r="H44" s="8" t="n">
        <f aca="false">'Исходные данные'!S44</f>
        <v>966</v>
      </c>
      <c r="I44" s="9" t="n">
        <f aca="false">'Исходные данные'!Z44</f>
        <v>18.32</v>
      </c>
      <c r="J44" s="8" t="n">
        <f aca="false">'Исходные данные'!U44</f>
        <v>17.5</v>
      </c>
      <c r="K44" s="6"/>
    </row>
    <row r="45" customFormat="false" ht="15" hidden="false" customHeight="false" outlineLevel="0" collapsed="false">
      <c r="A45" s="11" t="s">
        <v>25</v>
      </c>
      <c r="B45" s="11"/>
      <c r="C45" s="11"/>
      <c r="D45" s="11"/>
      <c r="E45" s="11"/>
      <c r="F45" s="12" t="n">
        <f aca="false">SUM(F5:F44)</f>
        <v>129</v>
      </c>
      <c r="G45" s="11"/>
      <c r="H45" s="13" t="n">
        <f aca="false">SUM(H5:H44)</f>
        <v>36280.25</v>
      </c>
      <c r="I45" s="13" t="n">
        <f aca="false">SUM(I5:I44)</f>
        <v>17665</v>
      </c>
      <c r="J45" s="13" t="n">
        <f aca="false">SUM(J5:J44)</f>
        <v>16194.95</v>
      </c>
      <c r="K45" s="11"/>
    </row>
    <row r="46" customFormat="false" ht="15" hidden="false" customHeight="false" outlineLevel="0" collapsed="false">
      <c r="A46" s="14" t="s">
        <v>26</v>
      </c>
      <c r="B46" s="14"/>
      <c r="C46" s="14"/>
      <c r="D46" s="14"/>
      <c r="E46" s="14"/>
      <c r="H46" s="15" t="n">
        <f aca="false">Сверка!F12</f>
        <v>36131.69</v>
      </c>
    </row>
    <row r="47" customFormat="false" ht="15" hidden="false" customHeight="false" outlineLevel="0" collapsed="false">
      <c r="A47" s="16" t="s">
        <v>27</v>
      </c>
      <c r="B47" s="16"/>
      <c r="C47" s="16"/>
      <c r="D47" s="16"/>
      <c r="E47" s="16"/>
      <c r="H47" s="17" t="n">
        <f aca="false">ROUND(H45-H46,2)</f>
        <v>148.56</v>
      </c>
    </row>
  </sheetData>
  <autoFilter ref="A4:K44"/>
  <mergeCells count="5">
    <mergeCell ref="A2:K2"/>
    <mergeCell ref="A3:K3"/>
    <mergeCell ref="A45:E45"/>
    <mergeCell ref="A46:E46"/>
    <mergeCell ref="A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4" topLeftCell="I5" activePane="bottomRight" state="frozen"/>
      <selection pane="topLeft" activeCell="A1" activeCellId="0" sqref="A1"/>
      <selection pane="topRight" activeCell="I1" activeCellId="0" sqref="I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9" min="8" style="0" width="12"/>
    <col collapsed="false" customWidth="true" hidden="false" outlineLevel="0" max="10" min="10" style="0" width="38"/>
    <col collapsed="false" customWidth="true" hidden="false" outlineLevel="0" max="12" min="11" style="0" width="40"/>
    <col collapsed="false" customWidth="true" hidden="false" outlineLevel="0" max="13" min="13" style="0" width="13"/>
    <col collapsed="false" customWidth="true" hidden="false" outlineLevel="0" max="15" min="14" style="0" width="8"/>
    <col collapsed="false" customWidth="true" hidden="false" outlineLevel="0" max="16" min="16" style="0" width="7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11"/>
    <col collapsed="false" customWidth="true" hidden="false" outlineLevel="0" max="22" min="21" style="0" width="12"/>
    <col collapsed="false" customWidth="true" hidden="false" outlineLevel="0" max="23" min="23" style="0" width="11"/>
    <col collapsed="false" customWidth="true" hidden="false" outlineLevel="0" max="24" min="24" style="0" width="13"/>
    <col collapsed="false" customWidth="true" hidden="false" outlineLevel="0" max="25" min="25" style="0" width="11"/>
    <col collapsed="false" customWidth="true" hidden="false" outlineLevel="0" max="28" min="26" style="0" width="13"/>
    <col collapsed="false" customWidth="true" hidden="false" outlineLevel="0" max="29" min="29" style="0" width="12"/>
    <col collapsed="false" customWidth="true" hidden="false" outlineLevel="0" max="30" min="30" style="0" width="13"/>
    <col collapsed="false" customWidth="true" hidden="false" outlineLevel="0" max="31" min="31" style="0" width="12"/>
  </cols>
  <sheetData>
    <row r="1" customFormat="false" ht="15" hidden="false" customHeight="false" outlineLevel="0" collapsed="false">
      <c r="A1" s="1" t="s">
        <v>28</v>
      </c>
    </row>
    <row r="2" customFormat="false" ht="42" hidden="false" customHeight="true" outlineLevel="0" collapsed="false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66" hidden="false" customHeight="true" outlineLevel="0" collapsed="false">
      <c r="A4" s="4" t="s">
        <v>3</v>
      </c>
      <c r="B4" s="4" t="s">
        <v>4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s="4" t="s">
        <v>41</v>
      </c>
      <c r="O4" s="4" t="s">
        <v>42</v>
      </c>
      <c r="P4" s="4" t="s">
        <v>43</v>
      </c>
      <c r="Q4" s="4" t="s">
        <v>44</v>
      </c>
      <c r="R4" s="4" t="s">
        <v>45</v>
      </c>
      <c r="S4" s="4" t="s">
        <v>46</v>
      </c>
      <c r="T4" s="4" t="s">
        <v>47</v>
      </c>
      <c r="U4" s="4" t="s">
        <v>48</v>
      </c>
      <c r="V4" s="4" t="s">
        <v>49</v>
      </c>
      <c r="W4" s="4" t="s">
        <v>50</v>
      </c>
      <c r="X4" s="4" t="s">
        <v>51</v>
      </c>
      <c r="Y4" s="4" t="s">
        <v>52</v>
      </c>
      <c r="Z4" s="4" t="s">
        <v>53</v>
      </c>
      <c r="AA4" s="4" t="s">
        <v>54</v>
      </c>
      <c r="AB4" s="4" t="s">
        <v>55</v>
      </c>
      <c r="AC4" s="4" t="s">
        <v>56</v>
      </c>
      <c r="AD4" s="4" t="s">
        <v>57</v>
      </c>
      <c r="AE4" s="4" t="s">
        <v>58</v>
      </c>
    </row>
    <row r="5" customFormat="false" ht="23.85" hidden="false" customHeight="false" outlineLevel="0" collapsed="false">
      <c r="A5" s="5" t="n">
        <v>1</v>
      </c>
      <c r="B5" s="18" t="s">
        <v>59</v>
      </c>
      <c r="C5" s="19" t="s">
        <v>60</v>
      </c>
      <c r="D5" s="19" t="n">
        <v>10</v>
      </c>
      <c r="E5" s="19" t="n">
        <v>1</v>
      </c>
      <c r="F5" s="19" t="s">
        <v>61</v>
      </c>
      <c r="G5" s="20" t="str">
        <f aca="false">B5&amp;" | место "&amp;E5</f>
        <v>UZ95-039-2026 | место 1</v>
      </c>
      <c r="H5" s="19" t="s">
        <v>62</v>
      </c>
      <c r="I5" s="19" t="s">
        <v>62</v>
      </c>
      <c r="J5" s="21" t="s">
        <v>63</v>
      </c>
      <c r="K5" s="21" t="s">
        <v>64</v>
      </c>
      <c r="L5" s="21" t="s">
        <v>64</v>
      </c>
      <c r="M5" s="19" t="s">
        <v>65</v>
      </c>
      <c r="N5" s="22" t="n">
        <v>1</v>
      </c>
      <c r="O5" s="22" t="n">
        <v>1</v>
      </c>
      <c r="P5" s="19" t="s">
        <v>66</v>
      </c>
      <c r="Q5" s="19" t="s">
        <v>67</v>
      </c>
      <c r="R5" s="23" t="n">
        <v>1680</v>
      </c>
      <c r="S5" s="23" t="n">
        <v>1680</v>
      </c>
      <c r="T5" s="24" t="n">
        <v>4500</v>
      </c>
      <c r="U5" s="23" t="n">
        <v>4500</v>
      </c>
      <c r="V5" s="23" t="n">
        <v>4800</v>
      </c>
      <c r="W5" s="8" t="n">
        <f aca="false">SUMIFS($U$5:$U$44,$G$5:$G$44,G5)</f>
        <v>4500</v>
      </c>
      <c r="X5" s="8" t="n">
        <f aca="false">ROUND(V5*U5/W5,2)</f>
        <v>4800</v>
      </c>
      <c r="Y5" s="5" t="n">
        <f aca="false">IF(AND(U5=_xlfn.MAXIFS($U$5:$U$44,$G$5:$G$44,G5),COUNTIFS($G$5:G5,G5,$U$5:U5,U5)=1),1,0)</f>
        <v>1</v>
      </c>
      <c r="Z5" s="8" t="n">
        <f aca="false">ROUND(IF(Y5=1,V5-(SUMIFS($X$5:$X$44,$G$5:$G$44,G5)-X5),X5),2)</f>
        <v>4800</v>
      </c>
      <c r="AA5" s="5" t="str">
        <f aca="false">IF(ABS(N5*R5-S5)&lt;0.005,"OK","ОШИБКА")</f>
        <v>OK</v>
      </c>
      <c r="AB5" s="5" t="str">
        <f aca="false">IF(ABS(O5*T5-U5)&lt;0.0005,"OK","ОШИБКА")</f>
        <v>OK</v>
      </c>
      <c r="AC5" s="5" t="str">
        <f aca="false">IF(H5=I5,"OK","ОШИБКА")</f>
        <v>OK</v>
      </c>
      <c r="AD5" s="5" t="str">
        <f aca="false">IF(K5=L5,"OK","ОШИБКА")</f>
        <v>OK</v>
      </c>
      <c r="AE5" s="5" t="str">
        <f aca="false">IF(N5=O5,"OK","ОШИБКА")</f>
        <v>OK</v>
      </c>
    </row>
    <row r="6" customFormat="false" ht="23.85" hidden="false" customHeight="false" outlineLevel="0" collapsed="false">
      <c r="A6" s="5" t="n">
        <v>2</v>
      </c>
      <c r="B6" s="18" t="s">
        <v>59</v>
      </c>
      <c r="C6" s="19" t="s">
        <v>60</v>
      </c>
      <c r="D6" s="19" t="n">
        <v>11</v>
      </c>
      <c r="E6" s="19" t="n">
        <v>2</v>
      </c>
      <c r="F6" s="19" t="s">
        <v>61</v>
      </c>
      <c r="G6" s="20" t="str">
        <f aca="false">B6&amp;" | место "&amp;E6</f>
        <v>UZ95-039-2026 | место 2</v>
      </c>
      <c r="H6" s="19" t="s">
        <v>62</v>
      </c>
      <c r="I6" s="19" t="s">
        <v>62</v>
      </c>
      <c r="J6" s="21" t="s">
        <v>63</v>
      </c>
      <c r="K6" s="21" t="s">
        <v>64</v>
      </c>
      <c r="L6" s="21" t="s">
        <v>64</v>
      </c>
      <c r="M6" s="19" t="s">
        <v>65</v>
      </c>
      <c r="N6" s="22" t="n">
        <v>1</v>
      </c>
      <c r="O6" s="22" t="n">
        <v>1</v>
      </c>
      <c r="P6" s="19" t="s">
        <v>66</v>
      </c>
      <c r="Q6" s="19" t="s">
        <v>67</v>
      </c>
      <c r="R6" s="23" t="n">
        <v>1680</v>
      </c>
      <c r="S6" s="23" t="n">
        <v>1680</v>
      </c>
      <c r="T6" s="24" t="n">
        <v>4500</v>
      </c>
      <c r="U6" s="23" t="n">
        <v>4500</v>
      </c>
      <c r="V6" s="23" t="n">
        <v>4800</v>
      </c>
      <c r="W6" s="8" t="n">
        <f aca="false">SUMIFS($U$5:$U$44,$G$5:$G$44,G6)</f>
        <v>4500</v>
      </c>
      <c r="X6" s="8" t="n">
        <f aca="false">ROUND(V6*U6/W6,2)</f>
        <v>4800</v>
      </c>
      <c r="Y6" s="5" t="n">
        <f aca="false">IF(AND(U6=_xlfn.MAXIFS($U$5:$U$44,$G$5:$G$44,G6),COUNTIFS($G$5:G6,G6,$U$5:U6,U6)=1),1,0)</f>
        <v>1</v>
      </c>
      <c r="Z6" s="8" t="n">
        <f aca="false">ROUND(IF(Y6=1,V6-(SUMIFS($X$5:$X$44,$G$5:$G$44,G6)-X6),X6),2)</f>
        <v>4800</v>
      </c>
      <c r="AA6" s="5" t="str">
        <f aca="false">IF(ABS(N6*R6-S6)&lt;0.005,"OK","ОШИБКА")</f>
        <v>OK</v>
      </c>
      <c r="AB6" s="5" t="str">
        <f aca="false">IF(ABS(O6*T6-U6)&lt;0.0005,"OK","ОШИБКА")</f>
        <v>OK</v>
      </c>
      <c r="AC6" s="5" t="str">
        <f aca="false">IF(H6=I6,"OK","ОШИБКА")</f>
        <v>OK</v>
      </c>
      <c r="AD6" s="5" t="str">
        <f aca="false">IF(K6=L6,"OK","ОШИБКА")</f>
        <v>OK</v>
      </c>
      <c r="AE6" s="5" t="str">
        <f aca="false">IF(N6=O6,"OK","ОШИБКА")</f>
        <v>OK</v>
      </c>
    </row>
    <row r="7" customFormat="false" ht="15" hidden="false" customHeight="false" outlineLevel="0" collapsed="false">
      <c r="A7" s="5" t="n">
        <v>3</v>
      </c>
      <c r="B7" s="18" t="s">
        <v>68</v>
      </c>
      <c r="C7" s="19" t="s">
        <v>69</v>
      </c>
      <c r="D7" s="19" t="n">
        <v>5</v>
      </c>
      <c r="E7" s="19" t="n">
        <v>1</v>
      </c>
      <c r="F7" s="19" t="s">
        <v>70</v>
      </c>
      <c r="G7" s="20" t="str">
        <f aca="false">B7&amp;" | место "&amp;E7</f>
        <v>UZ95-040-2026 | место 1</v>
      </c>
      <c r="H7" s="19" t="s">
        <v>71</v>
      </c>
      <c r="I7" s="19" t="s">
        <v>71</v>
      </c>
      <c r="J7" s="21" t="s">
        <v>72</v>
      </c>
      <c r="K7" s="21" t="s">
        <v>73</v>
      </c>
      <c r="L7" s="21" t="s">
        <v>73</v>
      </c>
      <c r="M7" s="19" t="s">
        <v>65</v>
      </c>
      <c r="N7" s="22" t="n">
        <v>3</v>
      </c>
      <c r="O7" s="22" t="n">
        <v>3</v>
      </c>
      <c r="P7" s="19" t="s">
        <v>66</v>
      </c>
      <c r="Q7" s="19" t="s">
        <v>67</v>
      </c>
      <c r="R7" s="23" t="n">
        <v>760</v>
      </c>
      <c r="S7" s="23" t="n">
        <v>2280</v>
      </c>
      <c r="T7" s="24" t="n">
        <v>685</v>
      </c>
      <c r="U7" s="23" t="n">
        <v>2055</v>
      </c>
      <c r="V7" s="23" t="n">
        <v>2305</v>
      </c>
      <c r="W7" s="8" t="n">
        <f aca="false">SUMIFS($U$5:$U$44,$G$5:$G$44,G7)</f>
        <v>2055</v>
      </c>
      <c r="X7" s="8" t="n">
        <f aca="false">ROUND(V7*U7/W7,2)</f>
        <v>2305</v>
      </c>
      <c r="Y7" s="5" t="n">
        <f aca="false">IF(AND(U7=_xlfn.MAXIFS($U$5:$U$44,$G$5:$G$44,G7),COUNTIFS($G$5:G7,G7,$U$5:U7,U7)=1),1,0)</f>
        <v>1</v>
      </c>
      <c r="Z7" s="8" t="n">
        <f aca="false">ROUND(IF(Y7=1,V7-(SUMIFS($X$5:$X$44,$G$5:$G$44,G7)-X7),X7),2)</f>
        <v>2305</v>
      </c>
      <c r="AA7" s="5" t="str">
        <f aca="false">IF(ABS(N7*R7-S7)&lt;0.005,"OK","ОШИБКА")</f>
        <v>OK</v>
      </c>
      <c r="AB7" s="5" t="str">
        <f aca="false">IF(ABS(O7*T7-U7)&lt;0.0005,"OK","ОШИБКА")</f>
        <v>OK</v>
      </c>
      <c r="AC7" s="5" t="str">
        <f aca="false">IF(H7=I7,"OK","ОШИБКА")</f>
        <v>OK</v>
      </c>
      <c r="AD7" s="5" t="str">
        <f aca="false">IF(K7=L7,"OK","ОШИБКА")</f>
        <v>OK</v>
      </c>
      <c r="AE7" s="5" t="str">
        <f aca="false">IF(N7=O7,"OK","ОШИБКА")</f>
        <v>OK</v>
      </c>
    </row>
    <row r="8" customFormat="false" ht="15" hidden="false" customHeight="false" outlineLevel="0" collapsed="false">
      <c r="A8" s="5" t="n">
        <v>4</v>
      </c>
      <c r="B8" s="18" t="s">
        <v>68</v>
      </c>
      <c r="C8" s="19" t="s">
        <v>69</v>
      </c>
      <c r="D8" s="19" t="n">
        <v>6</v>
      </c>
      <c r="E8" s="19" t="n">
        <v>2</v>
      </c>
      <c r="F8" s="19" t="s">
        <v>70</v>
      </c>
      <c r="G8" s="20" t="str">
        <f aca="false">B8&amp;" | место "&amp;E8</f>
        <v>UZ95-040-2026 | место 2</v>
      </c>
      <c r="H8" s="19" t="s">
        <v>71</v>
      </c>
      <c r="I8" s="19" t="s">
        <v>71</v>
      </c>
      <c r="J8" s="21" t="s">
        <v>72</v>
      </c>
      <c r="K8" s="21" t="s">
        <v>73</v>
      </c>
      <c r="L8" s="21" t="s">
        <v>73</v>
      </c>
      <c r="M8" s="19" t="s">
        <v>65</v>
      </c>
      <c r="N8" s="22" t="n">
        <v>3</v>
      </c>
      <c r="O8" s="22" t="n">
        <v>3</v>
      </c>
      <c r="P8" s="19" t="s">
        <v>66</v>
      </c>
      <c r="Q8" s="19" t="s">
        <v>67</v>
      </c>
      <c r="R8" s="23" t="n">
        <v>760</v>
      </c>
      <c r="S8" s="23" t="n">
        <v>2280</v>
      </c>
      <c r="T8" s="24" t="n">
        <v>685</v>
      </c>
      <c r="U8" s="23" t="n">
        <v>2055</v>
      </c>
      <c r="V8" s="23" t="n">
        <v>2305</v>
      </c>
      <c r="W8" s="8" t="n">
        <f aca="false">SUMIFS($U$5:$U$44,$G$5:$G$44,G8)</f>
        <v>2055</v>
      </c>
      <c r="X8" s="8" t="n">
        <f aca="false">ROUND(V8*U8/W8,2)</f>
        <v>2305</v>
      </c>
      <c r="Y8" s="5" t="n">
        <f aca="false">IF(AND(U8=_xlfn.MAXIFS($U$5:$U$44,$G$5:$G$44,G8),COUNTIFS($G$5:G8,G8,$U$5:U8,U8)=1),1,0)</f>
        <v>1</v>
      </c>
      <c r="Z8" s="8" t="n">
        <f aca="false">ROUND(IF(Y8=1,V8-(SUMIFS($X$5:$X$44,$G$5:$G$44,G8)-X8),X8),2)</f>
        <v>2305</v>
      </c>
      <c r="AA8" s="5" t="str">
        <f aca="false">IF(ABS(N8*R8-S8)&lt;0.005,"OK","ОШИБКА")</f>
        <v>OK</v>
      </c>
      <c r="AB8" s="5" t="str">
        <f aca="false">IF(ABS(O8*T8-U8)&lt;0.0005,"OK","ОШИБКА")</f>
        <v>OK</v>
      </c>
      <c r="AC8" s="5" t="str">
        <f aca="false">IF(H8=I8,"OK","ОШИБКА")</f>
        <v>OK</v>
      </c>
      <c r="AD8" s="5" t="str">
        <f aca="false">IF(K8=L8,"OK","ОШИБКА")</f>
        <v>OK</v>
      </c>
      <c r="AE8" s="5" t="str">
        <f aca="false">IF(N8=O8,"OK","ОШИБКА")</f>
        <v>OK</v>
      </c>
    </row>
    <row r="9" customFormat="false" ht="15" hidden="false" customHeight="false" outlineLevel="0" collapsed="false">
      <c r="A9" s="5" t="n">
        <v>5</v>
      </c>
      <c r="B9" s="18" t="s">
        <v>68</v>
      </c>
      <c r="C9" s="19" t="s">
        <v>69</v>
      </c>
      <c r="D9" s="19" t="n">
        <v>7</v>
      </c>
      <c r="E9" s="19" t="n">
        <v>3</v>
      </c>
      <c r="F9" s="19" t="s">
        <v>70</v>
      </c>
      <c r="G9" s="20" t="str">
        <f aca="false">B9&amp;" | место "&amp;E9</f>
        <v>UZ95-040-2026 | место 3</v>
      </c>
      <c r="H9" s="19" t="s">
        <v>71</v>
      </c>
      <c r="I9" s="19" t="s">
        <v>71</v>
      </c>
      <c r="J9" s="21" t="s">
        <v>72</v>
      </c>
      <c r="K9" s="21" t="s">
        <v>73</v>
      </c>
      <c r="L9" s="21" t="s">
        <v>73</v>
      </c>
      <c r="M9" s="19" t="s">
        <v>65</v>
      </c>
      <c r="N9" s="22" t="n">
        <v>3</v>
      </c>
      <c r="O9" s="22" t="n">
        <v>3</v>
      </c>
      <c r="P9" s="19" t="s">
        <v>66</v>
      </c>
      <c r="Q9" s="19" t="s">
        <v>67</v>
      </c>
      <c r="R9" s="23" t="n">
        <v>760</v>
      </c>
      <c r="S9" s="23" t="n">
        <v>2280</v>
      </c>
      <c r="T9" s="24" t="n">
        <v>685</v>
      </c>
      <c r="U9" s="23" t="n">
        <v>2055</v>
      </c>
      <c r="V9" s="23" t="n">
        <v>2305</v>
      </c>
      <c r="W9" s="8" t="n">
        <f aca="false">SUMIFS($U$5:$U$44,$G$5:$G$44,G9)</f>
        <v>2055</v>
      </c>
      <c r="X9" s="8" t="n">
        <f aca="false">ROUND(V9*U9/W9,2)</f>
        <v>2305</v>
      </c>
      <c r="Y9" s="5" t="n">
        <f aca="false">IF(AND(U9=_xlfn.MAXIFS($U$5:$U$44,$G$5:$G$44,G9),COUNTIFS($G$5:G9,G9,$U$5:U9,U9)=1),1,0)</f>
        <v>1</v>
      </c>
      <c r="Z9" s="8" t="n">
        <f aca="false">ROUND(IF(Y9=1,V9-(SUMIFS($X$5:$X$44,$G$5:$G$44,G9)-X9),X9),2)</f>
        <v>2305</v>
      </c>
      <c r="AA9" s="5" t="str">
        <f aca="false">IF(ABS(N9*R9-S9)&lt;0.005,"OK","ОШИБКА")</f>
        <v>OK</v>
      </c>
      <c r="AB9" s="5" t="str">
        <f aca="false">IF(ABS(O9*T9-U9)&lt;0.0005,"OK","ОШИБКА")</f>
        <v>OK</v>
      </c>
      <c r="AC9" s="5" t="str">
        <f aca="false">IF(H9=I9,"OK","ОШИБКА")</f>
        <v>OK</v>
      </c>
      <c r="AD9" s="5" t="str">
        <f aca="false">IF(K9=L9,"OK","ОШИБКА")</f>
        <v>OK</v>
      </c>
      <c r="AE9" s="5" t="str">
        <f aca="false">IF(N9=O9,"OK","ОШИБКА")</f>
        <v>OK</v>
      </c>
    </row>
    <row r="10" customFormat="false" ht="15" hidden="false" customHeight="false" outlineLevel="0" collapsed="false">
      <c r="A10" s="5" t="n">
        <v>6</v>
      </c>
      <c r="B10" s="18" t="s">
        <v>74</v>
      </c>
      <c r="C10" s="19" t="s">
        <v>75</v>
      </c>
      <c r="D10" s="19" t="n">
        <v>2</v>
      </c>
      <c r="E10" s="19" t="n">
        <v>1</v>
      </c>
      <c r="F10" s="19" t="s">
        <v>76</v>
      </c>
      <c r="G10" s="20" t="str">
        <f aca="false">B10&amp;" | место "&amp;E10</f>
        <v>UZ95-041-2026 | место 1</v>
      </c>
      <c r="H10" s="19" t="s">
        <v>77</v>
      </c>
      <c r="I10" s="19" t="s">
        <v>77</v>
      </c>
      <c r="J10" s="21" t="s">
        <v>78</v>
      </c>
      <c r="K10" s="21" t="s">
        <v>79</v>
      </c>
      <c r="L10" s="21" t="s">
        <v>79</v>
      </c>
      <c r="M10" s="19" t="s">
        <v>80</v>
      </c>
      <c r="N10" s="22" t="n">
        <v>7</v>
      </c>
      <c r="O10" s="22" t="n">
        <v>7</v>
      </c>
      <c r="P10" s="19" t="s">
        <v>66</v>
      </c>
      <c r="Q10" s="19" t="s">
        <v>67</v>
      </c>
      <c r="R10" s="23" t="n">
        <v>102</v>
      </c>
      <c r="S10" s="23" t="n">
        <v>714</v>
      </c>
      <c r="T10" s="24" t="n">
        <v>1.8</v>
      </c>
      <c r="U10" s="23" t="n">
        <v>12.6</v>
      </c>
      <c r="V10" s="23" t="n">
        <v>75</v>
      </c>
      <c r="W10" s="8" t="n">
        <f aca="false">SUMIFS($U$5:$U$44,$G$5:$G$44,G10)</f>
        <v>43.25</v>
      </c>
      <c r="X10" s="8" t="n">
        <f aca="false">ROUND(V10*U10/W10,2)</f>
        <v>21.85</v>
      </c>
      <c r="Y10" s="5" t="n">
        <f aca="false">IF(AND(U10=_xlfn.MAXIFS($U$5:$U$44,$G$5:$G$44,G10),COUNTIFS($G$5:G10,G10,$U$5:U10,U10)=1),1,0)</f>
        <v>0</v>
      </c>
      <c r="Z10" s="8" t="n">
        <f aca="false">ROUND(IF(Y10=1,V10-(SUMIFS($X$5:$X$44,$G$5:$G$44,G10)-X10),X10),2)</f>
        <v>21.85</v>
      </c>
      <c r="AA10" s="5" t="str">
        <f aca="false">IF(ABS(N10*R10-S10)&lt;0.005,"OK","ОШИБКА")</f>
        <v>OK</v>
      </c>
      <c r="AB10" s="5" t="str">
        <f aca="false">IF(ABS(O10*T10-U10)&lt;0.0005,"OK","ОШИБКА")</f>
        <v>OK</v>
      </c>
      <c r="AC10" s="5" t="str">
        <f aca="false">IF(H10=I10,"OK","ОШИБКА")</f>
        <v>OK</v>
      </c>
      <c r="AD10" s="5" t="str">
        <f aca="false">IF(K10=L10,"OK","ОШИБКА")</f>
        <v>OK</v>
      </c>
      <c r="AE10" s="5" t="str">
        <f aca="false">IF(N10=O10,"OK","ОШИБКА")</f>
        <v>OK</v>
      </c>
    </row>
    <row r="11" customFormat="false" ht="15" hidden="false" customHeight="false" outlineLevel="0" collapsed="false">
      <c r="A11" s="5" t="n">
        <v>7</v>
      </c>
      <c r="B11" s="18" t="s">
        <v>74</v>
      </c>
      <c r="C11" s="19" t="s">
        <v>75</v>
      </c>
      <c r="D11" s="19" t="n">
        <v>2</v>
      </c>
      <c r="E11" s="19" t="n">
        <v>1</v>
      </c>
      <c r="F11" s="19" t="s">
        <v>76</v>
      </c>
      <c r="G11" s="20" t="str">
        <f aca="false">B11&amp;" | место "&amp;E11</f>
        <v>UZ95-041-2026 | место 1</v>
      </c>
      <c r="H11" s="19" t="s">
        <v>81</v>
      </c>
      <c r="I11" s="19" t="s">
        <v>81</v>
      </c>
      <c r="J11" s="21" t="s">
        <v>82</v>
      </c>
      <c r="K11" s="21" t="s">
        <v>83</v>
      </c>
      <c r="L11" s="21" t="s">
        <v>83</v>
      </c>
      <c r="M11" s="19" t="s">
        <v>80</v>
      </c>
      <c r="N11" s="22" t="n">
        <v>2</v>
      </c>
      <c r="O11" s="22" t="n">
        <v>2</v>
      </c>
      <c r="P11" s="19" t="s">
        <v>66</v>
      </c>
      <c r="Q11" s="19" t="s">
        <v>67</v>
      </c>
      <c r="R11" s="23" t="n">
        <v>471</v>
      </c>
      <c r="S11" s="23" t="n">
        <v>942</v>
      </c>
      <c r="T11" s="24" t="n">
        <v>1</v>
      </c>
      <c r="U11" s="23" t="n">
        <v>2</v>
      </c>
      <c r="V11" s="23" t="n">
        <v>75</v>
      </c>
      <c r="W11" s="8" t="n">
        <f aca="false">SUMIFS($U$5:$U$44,$G$5:$G$44,G11)</f>
        <v>43.25</v>
      </c>
      <c r="X11" s="8" t="n">
        <f aca="false">ROUND(V11*U11/W11,2)</f>
        <v>3.47</v>
      </c>
      <c r="Y11" s="5" t="n">
        <f aca="false">IF(AND(U11=_xlfn.MAXIFS($U$5:$U$44,$G$5:$G$44,G11),COUNTIFS($G$5:G11,G11,$U$5:U11,U11)=1),1,0)</f>
        <v>0</v>
      </c>
      <c r="Z11" s="8" t="n">
        <f aca="false">ROUND(IF(Y11=1,V11-(SUMIFS($X$5:$X$44,$G$5:$G$44,G11)-X11),X11),2)</f>
        <v>3.47</v>
      </c>
      <c r="AA11" s="5" t="str">
        <f aca="false">IF(ABS(N11*R11-S11)&lt;0.005,"OK","ОШИБКА")</f>
        <v>OK</v>
      </c>
      <c r="AB11" s="5" t="str">
        <f aca="false">IF(ABS(O11*T11-U11)&lt;0.0005,"OK","ОШИБКА")</f>
        <v>OK</v>
      </c>
      <c r="AC11" s="5" t="str">
        <f aca="false">IF(H11=I11,"OK","ОШИБКА")</f>
        <v>OK</v>
      </c>
      <c r="AD11" s="5" t="str">
        <f aca="false">IF(K11=L11,"OK","ОШИБКА")</f>
        <v>OK</v>
      </c>
      <c r="AE11" s="5" t="str">
        <f aca="false">IF(N11=O11,"OK","ОШИБКА")</f>
        <v>OK</v>
      </c>
    </row>
    <row r="12" customFormat="false" ht="15" hidden="false" customHeight="false" outlineLevel="0" collapsed="false">
      <c r="A12" s="5" t="n">
        <v>8</v>
      </c>
      <c r="B12" s="18" t="s">
        <v>74</v>
      </c>
      <c r="C12" s="19" t="s">
        <v>75</v>
      </c>
      <c r="D12" s="19" t="n">
        <v>2</v>
      </c>
      <c r="E12" s="19" t="n">
        <v>1</v>
      </c>
      <c r="F12" s="19" t="s">
        <v>76</v>
      </c>
      <c r="G12" s="20" t="str">
        <f aca="false">B12&amp;" | место "&amp;E12</f>
        <v>UZ95-041-2026 | место 1</v>
      </c>
      <c r="H12" s="19" t="s">
        <v>84</v>
      </c>
      <c r="I12" s="19" t="s">
        <v>84</v>
      </c>
      <c r="J12" s="21" t="s">
        <v>85</v>
      </c>
      <c r="K12" s="21" t="s">
        <v>86</v>
      </c>
      <c r="L12" s="21" t="s">
        <v>86</v>
      </c>
      <c r="M12" s="19" t="s">
        <v>80</v>
      </c>
      <c r="N12" s="22" t="n">
        <v>1</v>
      </c>
      <c r="O12" s="22" t="n">
        <v>1</v>
      </c>
      <c r="P12" s="19" t="s">
        <v>66</v>
      </c>
      <c r="Q12" s="19" t="s">
        <v>67</v>
      </c>
      <c r="R12" s="23" t="n">
        <v>185</v>
      </c>
      <c r="S12" s="23" t="n">
        <v>185</v>
      </c>
      <c r="T12" s="24" t="n">
        <v>0.2</v>
      </c>
      <c r="U12" s="23" t="n">
        <v>0.2</v>
      </c>
      <c r="V12" s="23" t="n">
        <v>75</v>
      </c>
      <c r="W12" s="8" t="n">
        <f aca="false">SUMIFS($U$5:$U$44,$G$5:$G$44,G12)</f>
        <v>43.25</v>
      </c>
      <c r="X12" s="8" t="n">
        <f aca="false">ROUND(V12*U12/W12,2)</f>
        <v>0.35</v>
      </c>
      <c r="Y12" s="5" t="n">
        <f aca="false">IF(AND(U12=_xlfn.MAXIFS($U$5:$U$44,$G$5:$G$44,G12),COUNTIFS($G$5:G12,G12,$U$5:U12,U12)=1),1,0)</f>
        <v>0</v>
      </c>
      <c r="Z12" s="8" t="n">
        <f aca="false">ROUND(IF(Y12=1,V12-(SUMIFS($X$5:$X$44,$G$5:$G$44,G12)-X12),X12),2)</f>
        <v>0.35</v>
      </c>
      <c r="AA12" s="5" t="str">
        <f aca="false">IF(ABS(N12*R12-S12)&lt;0.005,"OK","ОШИБКА")</f>
        <v>OK</v>
      </c>
      <c r="AB12" s="5" t="str">
        <f aca="false">IF(ABS(O12*T12-U12)&lt;0.0005,"OK","ОШИБКА")</f>
        <v>OK</v>
      </c>
      <c r="AC12" s="5" t="str">
        <f aca="false">IF(H12=I12,"OK","ОШИБКА")</f>
        <v>OK</v>
      </c>
      <c r="AD12" s="5" t="str">
        <f aca="false">IF(K12=L12,"OK","ОШИБКА")</f>
        <v>OK</v>
      </c>
      <c r="AE12" s="5" t="str">
        <f aca="false">IF(N12=O12,"OK","ОШИБКА")</f>
        <v>OK</v>
      </c>
    </row>
    <row r="13" customFormat="false" ht="15" hidden="false" customHeight="false" outlineLevel="0" collapsed="false">
      <c r="A13" s="5" t="n">
        <v>9</v>
      </c>
      <c r="B13" s="18" t="s">
        <v>74</v>
      </c>
      <c r="C13" s="19" t="s">
        <v>75</v>
      </c>
      <c r="D13" s="19" t="n">
        <v>2</v>
      </c>
      <c r="E13" s="19" t="n">
        <v>1</v>
      </c>
      <c r="F13" s="19" t="s">
        <v>76</v>
      </c>
      <c r="G13" s="20" t="str">
        <f aca="false">B13&amp;" | место "&amp;E13</f>
        <v>UZ95-041-2026 | место 1</v>
      </c>
      <c r="H13" s="19" t="s">
        <v>87</v>
      </c>
      <c r="I13" s="19" t="s">
        <v>87</v>
      </c>
      <c r="J13" s="21" t="s">
        <v>88</v>
      </c>
      <c r="K13" s="21" t="s">
        <v>89</v>
      </c>
      <c r="L13" s="21" t="s">
        <v>89</v>
      </c>
      <c r="M13" s="19" t="s">
        <v>80</v>
      </c>
      <c r="N13" s="22" t="n">
        <v>1</v>
      </c>
      <c r="O13" s="22" t="n">
        <v>1</v>
      </c>
      <c r="P13" s="19" t="s">
        <v>66</v>
      </c>
      <c r="Q13" s="19" t="s">
        <v>67</v>
      </c>
      <c r="R13" s="23" t="n">
        <v>471</v>
      </c>
      <c r="S13" s="23" t="n">
        <v>471</v>
      </c>
      <c r="T13" s="24" t="n">
        <v>0.25</v>
      </c>
      <c r="U13" s="23" t="n">
        <v>0.25</v>
      </c>
      <c r="V13" s="23" t="n">
        <v>75</v>
      </c>
      <c r="W13" s="8" t="n">
        <f aca="false">SUMIFS($U$5:$U$44,$G$5:$G$44,G13)</f>
        <v>43.25</v>
      </c>
      <c r="X13" s="8" t="n">
        <f aca="false">ROUND(V13*U13/W13,2)</f>
        <v>0.43</v>
      </c>
      <c r="Y13" s="5" t="n">
        <f aca="false">IF(AND(U13=_xlfn.MAXIFS($U$5:$U$44,$G$5:$G$44,G13),COUNTIFS($G$5:G13,G13,$U$5:U13,U13)=1),1,0)</f>
        <v>0</v>
      </c>
      <c r="Z13" s="8" t="n">
        <f aca="false">ROUND(IF(Y13=1,V13-(SUMIFS($X$5:$X$44,$G$5:$G$44,G13)-X13),X13),2)</f>
        <v>0.43</v>
      </c>
      <c r="AA13" s="5" t="str">
        <f aca="false">IF(ABS(N13*R13-S13)&lt;0.005,"OK","ОШИБКА")</f>
        <v>OK</v>
      </c>
      <c r="AB13" s="5" t="str">
        <f aca="false">IF(ABS(O13*T13-U13)&lt;0.0005,"OK","ОШИБКА")</f>
        <v>OK</v>
      </c>
      <c r="AC13" s="5" t="str">
        <f aca="false">IF(H13=I13,"OK","ОШИБКА")</f>
        <v>OK</v>
      </c>
      <c r="AD13" s="5" t="str">
        <f aca="false">IF(K13=L13,"OK","ОШИБКА")</f>
        <v>OK</v>
      </c>
      <c r="AE13" s="5" t="str">
        <f aca="false">IF(N13=O13,"OK","ОШИБКА")</f>
        <v>OK</v>
      </c>
    </row>
    <row r="14" customFormat="false" ht="15" hidden="false" customHeight="false" outlineLevel="0" collapsed="false">
      <c r="A14" s="5" t="n">
        <v>10</v>
      </c>
      <c r="B14" s="18" t="s">
        <v>74</v>
      </c>
      <c r="C14" s="19" t="s">
        <v>75</v>
      </c>
      <c r="D14" s="19" t="n">
        <v>2</v>
      </c>
      <c r="E14" s="19" t="n">
        <v>1</v>
      </c>
      <c r="F14" s="19" t="s">
        <v>76</v>
      </c>
      <c r="G14" s="20" t="str">
        <f aca="false">B14&amp;" | место "&amp;E14</f>
        <v>UZ95-041-2026 | место 1</v>
      </c>
      <c r="H14" s="19" t="s">
        <v>90</v>
      </c>
      <c r="I14" s="19" t="s">
        <v>90</v>
      </c>
      <c r="J14" s="21" t="s">
        <v>91</v>
      </c>
      <c r="K14" s="21" t="s">
        <v>92</v>
      </c>
      <c r="L14" s="21" t="s">
        <v>92</v>
      </c>
      <c r="M14" s="19" t="s">
        <v>93</v>
      </c>
      <c r="N14" s="22" t="n">
        <v>3</v>
      </c>
      <c r="O14" s="22" t="n">
        <v>3</v>
      </c>
      <c r="P14" s="19" t="s">
        <v>66</v>
      </c>
      <c r="Q14" s="19" t="s">
        <v>67</v>
      </c>
      <c r="R14" s="23" t="n">
        <v>240</v>
      </c>
      <c r="S14" s="23" t="n">
        <v>720</v>
      </c>
      <c r="T14" s="24" t="n">
        <v>0.4</v>
      </c>
      <c r="U14" s="23" t="n">
        <v>1.2</v>
      </c>
      <c r="V14" s="23" t="n">
        <v>75</v>
      </c>
      <c r="W14" s="8" t="n">
        <f aca="false">SUMIFS($U$5:$U$44,$G$5:$G$44,G14)</f>
        <v>43.25</v>
      </c>
      <c r="X14" s="8" t="n">
        <f aca="false">ROUND(V14*U14/W14,2)</f>
        <v>2.08</v>
      </c>
      <c r="Y14" s="5" t="n">
        <f aca="false">IF(AND(U14=_xlfn.MAXIFS($U$5:$U$44,$G$5:$G$44,G14),COUNTIFS($G$5:G14,G14,$U$5:U14,U14)=1),1,0)</f>
        <v>0</v>
      </c>
      <c r="Z14" s="8" t="n">
        <f aca="false">ROUND(IF(Y14=1,V14-(SUMIFS($X$5:$X$44,$G$5:$G$44,G14)-X14),X14),2)</f>
        <v>2.08</v>
      </c>
      <c r="AA14" s="5" t="str">
        <f aca="false">IF(ABS(N14*R14-S14)&lt;0.005,"OK","ОШИБКА")</f>
        <v>OK</v>
      </c>
      <c r="AB14" s="5" t="str">
        <f aca="false">IF(ABS(O14*T14-U14)&lt;0.0005,"OK","ОШИБКА")</f>
        <v>OK</v>
      </c>
      <c r="AC14" s="5" t="str">
        <f aca="false">IF(H14=I14,"OK","ОШИБКА")</f>
        <v>OK</v>
      </c>
      <c r="AD14" s="5" t="str">
        <f aca="false">IF(K14=L14,"OK","ОШИБКА")</f>
        <v>OK</v>
      </c>
      <c r="AE14" s="5" t="str">
        <f aca="false">IF(N14=O14,"OK","ОШИБКА")</f>
        <v>OK</v>
      </c>
    </row>
    <row r="15" customFormat="false" ht="15" hidden="false" customHeight="false" outlineLevel="0" collapsed="false">
      <c r="A15" s="5" t="n">
        <v>11</v>
      </c>
      <c r="B15" s="18" t="s">
        <v>74</v>
      </c>
      <c r="C15" s="19" t="s">
        <v>75</v>
      </c>
      <c r="D15" s="19" t="n">
        <v>2</v>
      </c>
      <c r="E15" s="19" t="n">
        <v>1</v>
      </c>
      <c r="F15" s="19" t="s">
        <v>76</v>
      </c>
      <c r="G15" s="20" t="str">
        <f aca="false">B15&amp;" | место "&amp;E15</f>
        <v>UZ95-041-2026 | место 1</v>
      </c>
      <c r="H15" s="19" t="s">
        <v>94</v>
      </c>
      <c r="I15" s="19" t="s">
        <v>94</v>
      </c>
      <c r="J15" s="21" t="s">
        <v>95</v>
      </c>
      <c r="K15" s="21" t="s">
        <v>96</v>
      </c>
      <c r="L15" s="21" t="s">
        <v>96</v>
      </c>
      <c r="M15" s="19" t="s">
        <v>97</v>
      </c>
      <c r="N15" s="22" t="n">
        <v>6</v>
      </c>
      <c r="O15" s="22" t="n">
        <v>6</v>
      </c>
      <c r="P15" s="19" t="s">
        <v>66</v>
      </c>
      <c r="Q15" s="19" t="s">
        <v>67</v>
      </c>
      <c r="R15" s="23" t="n">
        <v>312</v>
      </c>
      <c r="S15" s="23" t="n">
        <v>1872</v>
      </c>
      <c r="T15" s="24" t="n">
        <v>4.5</v>
      </c>
      <c r="U15" s="23" t="n">
        <v>27</v>
      </c>
      <c r="V15" s="23" t="n">
        <v>75</v>
      </c>
      <c r="W15" s="8" t="n">
        <f aca="false">SUMIFS($U$5:$U$44,$G$5:$G$44,G15)</f>
        <v>43.25</v>
      </c>
      <c r="X15" s="8" t="n">
        <f aca="false">ROUND(V15*U15/W15,2)</f>
        <v>46.82</v>
      </c>
      <c r="Y15" s="5" t="n">
        <f aca="false">IF(AND(U15=_xlfn.MAXIFS($U$5:$U$44,$G$5:$G$44,G15),COUNTIFS($G$5:G15,G15,$U$5:U15,U15)=1),1,0)</f>
        <v>1</v>
      </c>
      <c r="Z15" s="8" t="n">
        <f aca="false">ROUND(IF(Y15=1,V15-(SUMIFS($X$5:$X$44,$G$5:$G$44,G15)-X15),X15),2)</f>
        <v>46.82</v>
      </c>
      <c r="AA15" s="5" t="str">
        <f aca="false">IF(ABS(N15*R15-S15)&lt;0.005,"OK","ОШИБКА")</f>
        <v>OK</v>
      </c>
      <c r="AB15" s="5" t="str">
        <f aca="false">IF(ABS(O15*T15-U15)&lt;0.0005,"OK","ОШИБКА")</f>
        <v>OK</v>
      </c>
      <c r="AC15" s="5" t="str">
        <f aca="false">IF(H15=I15,"OK","ОШИБКА")</f>
        <v>OK</v>
      </c>
      <c r="AD15" s="5" t="str">
        <f aca="false">IF(K15=L15,"OK","ОШИБКА")</f>
        <v>OK</v>
      </c>
      <c r="AE15" s="5" t="str">
        <f aca="false">IF(N15=O15,"OK","ОШИБКА")</f>
        <v>OK</v>
      </c>
    </row>
    <row r="16" customFormat="false" ht="15" hidden="false" customHeight="false" outlineLevel="0" collapsed="false">
      <c r="A16" s="5" t="n">
        <v>12</v>
      </c>
      <c r="B16" s="18" t="s">
        <v>98</v>
      </c>
      <c r="C16" s="19" t="s">
        <v>99</v>
      </c>
      <c r="D16" s="19" t="n">
        <v>2</v>
      </c>
      <c r="E16" s="19" t="n">
        <v>0</v>
      </c>
      <c r="F16" s="19" t="s">
        <v>100</v>
      </c>
      <c r="G16" s="20" t="str">
        <f aca="false">B16&amp;" | место "&amp;E16</f>
        <v>UZ95-042-2026 | место 0</v>
      </c>
      <c r="H16" s="19" t="s">
        <v>101</v>
      </c>
      <c r="I16" s="19" t="s">
        <v>101</v>
      </c>
      <c r="J16" s="21" t="s">
        <v>102</v>
      </c>
      <c r="K16" s="21" t="s">
        <v>103</v>
      </c>
      <c r="L16" s="21" t="s">
        <v>103</v>
      </c>
      <c r="M16" s="19" t="s">
        <v>104</v>
      </c>
      <c r="N16" s="22" t="n">
        <v>1</v>
      </c>
      <c r="O16" s="22" t="n">
        <v>1</v>
      </c>
      <c r="P16" s="19" t="s">
        <v>66</v>
      </c>
      <c r="Q16" s="19" t="s">
        <v>67</v>
      </c>
      <c r="R16" s="23" t="n">
        <v>350</v>
      </c>
      <c r="S16" s="23" t="n">
        <v>350</v>
      </c>
      <c r="T16" s="24" t="n">
        <v>0.5</v>
      </c>
      <c r="U16" s="23" t="n">
        <v>0.5</v>
      </c>
      <c r="V16" s="23" t="n">
        <v>10</v>
      </c>
      <c r="W16" s="8" t="n">
        <f aca="false">SUMIFS($U$5:$U$44,$G$5:$G$44,G16)</f>
        <v>7.5</v>
      </c>
      <c r="X16" s="8" t="n">
        <f aca="false">ROUND(V16*U16/W16,2)</f>
        <v>0.67</v>
      </c>
      <c r="Y16" s="5" t="n">
        <f aca="false">IF(AND(U16=_xlfn.MAXIFS($U$5:$U$44,$G$5:$G$44,G16),COUNTIFS($G$5:G16,G16,$U$5:U16,U16)=1),1,0)</f>
        <v>0</v>
      </c>
      <c r="Z16" s="8" t="n">
        <f aca="false">ROUND(IF(Y16=1,V16-(SUMIFS($X$5:$X$44,$G$5:$G$44,G16)-X16),X16),2)</f>
        <v>0.67</v>
      </c>
      <c r="AA16" s="5" t="str">
        <f aca="false">IF(ABS(N16*R16-S16)&lt;0.005,"OK","ОШИБКА")</f>
        <v>OK</v>
      </c>
      <c r="AB16" s="5" t="str">
        <f aca="false">IF(ABS(O16*T16-U16)&lt;0.0005,"OK","ОШИБКА")</f>
        <v>OK</v>
      </c>
      <c r="AC16" s="5" t="str">
        <f aca="false">IF(H16=I16,"OK","ОШИБКА")</f>
        <v>OK</v>
      </c>
      <c r="AD16" s="5" t="str">
        <f aca="false">IF(K16=L16,"OK","ОШИБКА")</f>
        <v>OK</v>
      </c>
      <c r="AE16" s="5" t="str">
        <f aca="false">IF(N16=O16,"OK","ОШИБКА")</f>
        <v>OK</v>
      </c>
    </row>
    <row r="17" customFormat="false" ht="15" hidden="false" customHeight="false" outlineLevel="0" collapsed="false">
      <c r="A17" s="5" t="n">
        <v>13</v>
      </c>
      <c r="B17" s="18" t="s">
        <v>98</v>
      </c>
      <c r="C17" s="19" t="s">
        <v>99</v>
      </c>
      <c r="D17" s="19" t="n">
        <v>2</v>
      </c>
      <c r="E17" s="19" t="n">
        <v>0</v>
      </c>
      <c r="F17" s="19" t="s">
        <v>100</v>
      </c>
      <c r="G17" s="20" t="str">
        <f aca="false">B17&amp;" | место "&amp;E17</f>
        <v>UZ95-042-2026 | место 0</v>
      </c>
      <c r="H17" s="19" t="s">
        <v>105</v>
      </c>
      <c r="I17" s="19" t="s">
        <v>105</v>
      </c>
      <c r="J17" s="21" t="s">
        <v>106</v>
      </c>
      <c r="K17" s="21" t="s">
        <v>107</v>
      </c>
      <c r="L17" s="21" t="s">
        <v>107</v>
      </c>
      <c r="M17" s="19" t="s">
        <v>108</v>
      </c>
      <c r="N17" s="22" t="n">
        <v>1</v>
      </c>
      <c r="O17" s="22" t="n">
        <v>1</v>
      </c>
      <c r="P17" s="19" t="s">
        <v>66</v>
      </c>
      <c r="Q17" s="19" t="s">
        <v>67</v>
      </c>
      <c r="R17" s="23" t="n">
        <v>1550</v>
      </c>
      <c r="S17" s="23" t="n">
        <v>1550</v>
      </c>
      <c r="T17" s="24" t="n">
        <v>5</v>
      </c>
      <c r="U17" s="23" t="n">
        <v>5</v>
      </c>
      <c r="V17" s="23" t="n">
        <v>10</v>
      </c>
      <c r="W17" s="8" t="n">
        <f aca="false">SUMIFS($U$5:$U$44,$G$5:$G$44,G17)</f>
        <v>7.5</v>
      </c>
      <c r="X17" s="8" t="n">
        <f aca="false">ROUND(V17*U17/W17,2)</f>
        <v>6.67</v>
      </c>
      <c r="Y17" s="5" t="n">
        <f aca="false">IF(AND(U17=_xlfn.MAXIFS($U$5:$U$44,$G$5:$G$44,G17),COUNTIFS($G$5:G17,G17,$U$5:U17,U17)=1),1,0)</f>
        <v>1</v>
      </c>
      <c r="Z17" s="8" t="n">
        <f aca="false">ROUND(IF(Y17=1,V17-(SUMIFS($X$5:$X$44,$G$5:$G$44,G17)-X17),X17),2)</f>
        <v>6.66</v>
      </c>
      <c r="AA17" s="5" t="str">
        <f aca="false">IF(ABS(N17*R17-S17)&lt;0.005,"OK","ОШИБКА")</f>
        <v>OK</v>
      </c>
      <c r="AB17" s="5" t="str">
        <f aca="false">IF(ABS(O17*T17-U17)&lt;0.0005,"OK","ОШИБКА")</f>
        <v>OK</v>
      </c>
      <c r="AC17" s="5" t="str">
        <f aca="false">IF(H17=I17,"OK","ОШИБКА")</f>
        <v>OK</v>
      </c>
      <c r="AD17" s="5" t="str">
        <f aca="false">IF(K17=L17,"OK","ОШИБКА")</f>
        <v>OK</v>
      </c>
      <c r="AE17" s="5" t="str">
        <f aca="false">IF(N17=O17,"OK","ОШИБКА")</f>
        <v>OK</v>
      </c>
    </row>
    <row r="18" customFormat="false" ht="15" hidden="false" customHeight="false" outlineLevel="0" collapsed="false">
      <c r="A18" s="5" t="n">
        <v>14</v>
      </c>
      <c r="B18" s="18" t="s">
        <v>98</v>
      </c>
      <c r="C18" s="19" t="s">
        <v>99</v>
      </c>
      <c r="D18" s="19" t="n">
        <v>2</v>
      </c>
      <c r="E18" s="19" t="n">
        <v>0</v>
      </c>
      <c r="F18" s="19" t="s">
        <v>100</v>
      </c>
      <c r="G18" s="20" t="str">
        <f aca="false">B18&amp;" | место "&amp;E18</f>
        <v>UZ95-042-2026 | место 0</v>
      </c>
      <c r="H18" s="19" t="s">
        <v>109</v>
      </c>
      <c r="I18" s="19" t="s">
        <v>109</v>
      </c>
      <c r="J18" s="21" t="s">
        <v>110</v>
      </c>
      <c r="K18" s="21" t="s">
        <v>111</v>
      </c>
      <c r="L18" s="21" t="s">
        <v>111</v>
      </c>
      <c r="M18" s="19" t="s">
        <v>104</v>
      </c>
      <c r="N18" s="22" t="n">
        <v>1</v>
      </c>
      <c r="O18" s="22" t="n">
        <v>1</v>
      </c>
      <c r="P18" s="19" t="s">
        <v>66</v>
      </c>
      <c r="Q18" s="19" t="s">
        <v>67</v>
      </c>
      <c r="R18" s="23" t="n">
        <v>90</v>
      </c>
      <c r="S18" s="23" t="n">
        <v>90</v>
      </c>
      <c r="T18" s="24" t="n">
        <v>2</v>
      </c>
      <c r="U18" s="23" t="n">
        <v>2</v>
      </c>
      <c r="V18" s="23" t="n">
        <v>10</v>
      </c>
      <c r="W18" s="8" t="n">
        <f aca="false">SUMIFS($U$5:$U$44,$G$5:$G$44,G18)</f>
        <v>7.5</v>
      </c>
      <c r="X18" s="8" t="n">
        <f aca="false">ROUND(V18*U18/W18,2)</f>
        <v>2.67</v>
      </c>
      <c r="Y18" s="5" t="n">
        <f aca="false">IF(AND(U18=_xlfn.MAXIFS($U$5:$U$44,$G$5:$G$44,G18),COUNTIFS($G$5:G18,G18,$U$5:U18,U18)=1),1,0)</f>
        <v>0</v>
      </c>
      <c r="Z18" s="8" t="n">
        <f aca="false">ROUND(IF(Y18=1,V18-(SUMIFS($X$5:$X$44,$G$5:$G$44,G18)-X18),X18),2)</f>
        <v>2.67</v>
      </c>
      <c r="AA18" s="5" t="str">
        <f aca="false">IF(ABS(N18*R18-S18)&lt;0.005,"OK","ОШИБКА")</f>
        <v>OK</v>
      </c>
      <c r="AB18" s="5" t="str">
        <f aca="false">IF(ABS(O18*T18-U18)&lt;0.0005,"OK","ОШИБКА")</f>
        <v>OK</v>
      </c>
      <c r="AC18" s="5" t="str">
        <f aca="false">IF(H18=I18,"OK","ОШИБКА")</f>
        <v>OK</v>
      </c>
      <c r="AD18" s="5" t="str">
        <f aca="false">IF(K18=L18,"OK","ОШИБКА")</f>
        <v>OK</v>
      </c>
      <c r="AE18" s="5" t="str">
        <f aca="false">IF(N18=O18,"OK","ОШИБКА")</f>
        <v>OK</v>
      </c>
    </row>
    <row r="19" customFormat="false" ht="15" hidden="false" customHeight="false" outlineLevel="0" collapsed="false">
      <c r="A19" s="5" t="n">
        <v>15</v>
      </c>
      <c r="B19" s="18" t="s">
        <v>112</v>
      </c>
      <c r="C19" s="19" t="s">
        <v>113</v>
      </c>
      <c r="D19" s="19" t="n">
        <v>1</v>
      </c>
      <c r="E19" s="19" t="n">
        <v>1</v>
      </c>
      <c r="F19" s="19" t="s">
        <v>114</v>
      </c>
      <c r="G19" s="20" t="str">
        <f aca="false">B19&amp;" | место "&amp;E19</f>
        <v>UZ95-043-2026 | место 1</v>
      </c>
      <c r="H19" s="19" t="s">
        <v>115</v>
      </c>
      <c r="I19" s="19" t="s">
        <v>115</v>
      </c>
      <c r="J19" s="21" t="s">
        <v>116</v>
      </c>
      <c r="K19" s="21" t="s">
        <v>117</v>
      </c>
      <c r="L19" s="21" t="s">
        <v>117</v>
      </c>
      <c r="M19" s="19" t="s">
        <v>80</v>
      </c>
      <c r="N19" s="22" t="n">
        <v>1</v>
      </c>
      <c r="O19" s="22" t="n">
        <v>1</v>
      </c>
      <c r="P19" s="19" t="s">
        <v>66</v>
      </c>
      <c r="Q19" s="19" t="s">
        <v>67</v>
      </c>
      <c r="R19" s="23" t="n">
        <v>347</v>
      </c>
      <c r="S19" s="23" t="n">
        <v>347</v>
      </c>
      <c r="T19" s="24" t="n">
        <v>0.8</v>
      </c>
      <c r="U19" s="23" t="n">
        <v>0.8</v>
      </c>
      <c r="V19" s="23" t="n">
        <v>235</v>
      </c>
      <c r="W19" s="8" t="n">
        <f aca="false">SUMIFS($U$5:$U$44,$G$5:$G$44,G19)</f>
        <v>191.7</v>
      </c>
      <c r="X19" s="8" t="n">
        <f aca="false">ROUND(V19*U19/W19,2)</f>
        <v>0.98</v>
      </c>
      <c r="Y19" s="5" t="n">
        <f aca="false">IF(AND(U19=_xlfn.MAXIFS($U$5:$U$44,$G$5:$G$44,G19),COUNTIFS($G$5:G19,G19,$U$5:U19,U19)=1),1,0)</f>
        <v>0</v>
      </c>
      <c r="Z19" s="8" t="n">
        <f aca="false">ROUND(IF(Y19=1,V19-(SUMIFS($X$5:$X$44,$G$5:$G$44,G19)-X19),X19),2)</f>
        <v>0.98</v>
      </c>
      <c r="AA19" s="5" t="str">
        <f aca="false">IF(ABS(N19*R19-S19)&lt;0.005,"OK","ОШИБКА")</f>
        <v>OK</v>
      </c>
      <c r="AB19" s="5" t="str">
        <f aca="false">IF(ABS(O19*T19-U19)&lt;0.0005,"OK","ОШИБКА")</f>
        <v>OK</v>
      </c>
      <c r="AC19" s="5" t="str">
        <f aca="false">IF(H19=I19,"OK","ОШИБКА")</f>
        <v>OK</v>
      </c>
      <c r="AD19" s="5" t="str">
        <f aca="false">IF(K19=L19,"OK","ОШИБКА")</f>
        <v>OK</v>
      </c>
      <c r="AE19" s="5" t="str">
        <f aca="false">IF(N19=O19,"OK","ОШИБКА")</f>
        <v>OK</v>
      </c>
    </row>
    <row r="20" customFormat="false" ht="15" hidden="false" customHeight="false" outlineLevel="0" collapsed="false">
      <c r="A20" s="5" t="n">
        <v>16</v>
      </c>
      <c r="B20" s="18" t="s">
        <v>112</v>
      </c>
      <c r="C20" s="19" t="s">
        <v>113</v>
      </c>
      <c r="D20" s="19" t="n">
        <v>1</v>
      </c>
      <c r="E20" s="19" t="n">
        <v>1</v>
      </c>
      <c r="F20" s="19" t="s">
        <v>114</v>
      </c>
      <c r="G20" s="20" t="str">
        <f aca="false">B20&amp;" | место "&amp;E20</f>
        <v>UZ95-043-2026 | место 1</v>
      </c>
      <c r="H20" s="19" t="s">
        <v>118</v>
      </c>
      <c r="I20" s="19" t="s">
        <v>118</v>
      </c>
      <c r="J20" s="21" t="s">
        <v>119</v>
      </c>
      <c r="K20" s="21" t="s">
        <v>120</v>
      </c>
      <c r="L20" s="21" t="s">
        <v>120</v>
      </c>
      <c r="M20" s="19" t="s">
        <v>121</v>
      </c>
      <c r="N20" s="22" t="n">
        <v>1</v>
      </c>
      <c r="O20" s="22" t="n">
        <v>1</v>
      </c>
      <c r="P20" s="19" t="s">
        <v>66</v>
      </c>
      <c r="Q20" s="19" t="s">
        <v>67</v>
      </c>
      <c r="R20" s="23" t="n">
        <v>735.92</v>
      </c>
      <c r="S20" s="23" t="n">
        <v>735.92</v>
      </c>
      <c r="T20" s="24" t="n">
        <v>2.4</v>
      </c>
      <c r="U20" s="23" t="n">
        <v>2.4</v>
      </c>
      <c r="V20" s="23" t="n">
        <v>235</v>
      </c>
      <c r="W20" s="8" t="n">
        <f aca="false">SUMIFS($U$5:$U$44,$G$5:$G$44,G20)</f>
        <v>191.7</v>
      </c>
      <c r="X20" s="8" t="n">
        <f aca="false">ROUND(V20*U20/W20,2)</f>
        <v>2.94</v>
      </c>
      <c r="Y20" s="5" t="n">
        <f aca="false">IF(AND(U20=_xlfn.MAXIFS($U$5:$U$44,$G$5:$G$44,G20),COUNTIFS($G$5:G20,G20,$U$5:U20,U20)=1),1,0)</f>
        <v>0</v>
      </c>
      <c r="Z20" s="8" t="n">
        <f aca="false">ROUND(IF(Y20=1,V20-(SUMIFS($X$5:$X$44,$G$5:$G$44,G20)-X20),X20),2)</f>
        <v>2.94</v>
      </c>
      <c r="AA20" s="5" t="str">
        <f aca="false">IF(ABS(N20*R20-S20)&lt;0.005,"OK","ОШИБКА")</f>
        <v>OK</v>
      </c>
      <c r="AB20" s="5" t="str">
        <f aca="false">IF(ABS(O20*T20-U20)&lt;0.0005,"OK","ОШИБКА")</f>
        <v>OK</v>
      </c>
      <c r="AC20" s="5" t="str">
        <f aca="false">IF(H20=I20,"OK","ОШИБКА")</f>
        <v>OK</v>
      </c>
      <c r="AD20" s="5" t="str">
        <f aca="false">IF(K20=L20,"OK","ОШИБКА")</f>
        <v>OK</v>
      </c>
      <c r="AE20" s="5" t="str">
        <f aca="false">IF(N20=O20,"OK","ОШИБКА")</f>
        <v>OK</v>
      </c>
    </row>
    <row r="21" customFormat="false" ht="15" hidden="false" customHeight="false" outlineLevel="0" collapsed="false">
      <c r="A21" s="5" t="n">
        <v>17</v>
      </c>
      <c r="B21" s="18" t="s">
        <v>112</v>
      </c>
      <c r="C21" s="19" t="s">
        <v>113</v>
      </c>
      <c r="D21" s="19" t="n">
        <v>1</v>
      </c>
      <c r="E21" s="19" t="n">
        <v>1</v>
      </c>
      <c r="F21" s="19" t="s">
        <v>114</v>
      </c>
      <c r="G21" s="20" t="str">
        <f aca="false">B21&amp;" | место "&amp;E21</f>
        <v>UZ95-043-2026 | место 1</v>
      </c>
      <c r="H21" s="19" t="s">
        <v>122</v>
      </c>
      <c r="I21" s="19" t="s">
        <v>122</v>
      </c>
      <c r="J21" s="21" t="s">
        <v>123</v>
      </c>
      <c r="K21" s="21" t="s">
        <v>124</v>
      </c>
      <c r="L21" s="21" t="s">
        <v>124</v>
      </c>
      <c r="M21" s="19" t="s">
        <v>125</v>
      </c>
      <c r="N21" s="22" t="n">
        <v>3</v>
      </c>
      <c r="O21" s="22" t="n">
        <v>3</v>
      </c>
      <c r="P21" s="19" t="s">
        <v>66</v>
      </c>
      <c r="Q21" s="19" t="s">
        <v>67</v>
      </c>
      <c r="R21" s="23" t="n">
        <v>950</v>
      </c>
      <c r="S21" s="23" t="n">
        <v>2850</v>
      </c>
      <c r="T21" s="24" t="n">
        <v>26</v>
      </c>
      <c r="U21" s="23" t="n">
        <v>78</v>
      </c>
      <c r="V21" s="23" t="n">
        <v>235</v>
      </c>
      <c r="W21" s="8" t="n">
        <f aca="false">SUMIFS($U$5:$U$44,$G$5:$G$44,G21)</f>
        <v>191.7</v>
      </c>
      <c r="X21" s="8" t="n">
        <f aca="false">ROUND(V21*U21/W21,2)</f>
        <v>95.62</v>
      </c>
      <c r="Y21" s="5" t="n">
        <f aca="false">IF(AND(U21=_xlfn.MAXIFS($U$5:$U$44,$G$5:$G$44,G21),COUNTIFS($G$5:G21,G21,$U$5:U21,U21)=1),1,0)</f>
        <v>1</v>
      </c>
      <c r="Z21" s="8" t="n">
        <f aca="false">ROUND(IF(Y21=1,V21-(SUMIFS($X$5:$X$44,$G$5:$G$44,G21)-X21),X21),2)</f>
        <v>95.63</v>
      </c>
      <c r="AA21" s="5" t="str">
        <f aca="false">IF(ABS(N21*R21-S21)&lt;0.005,"OK","ОШИБКА")</f>
        <v>OK</v>
      </c>
      <c r="AB21" s="5" t="str">
        <f aca="false">IF(ABS(O21*T21-U21)&lt;0.0005,"OK","ОШИБКА")</f>
        <v>OK</v>
      </c>
      <c r="AC21" s="5" t="str">
        <f aca="false">IF(H21=I21,"OK","ОШИБКА")</f>
        <v>OK</v>
      </c>
      <c r="AD21" s="5" t="str">
        <f aca="false">IF(K21=L21,"OK","ОШИБКА")</f>
        <v>OK</v>
      </c>
      <c r="AE21" s="5" t="str">
        <f aca="false">IF(N21=O21,"OK","ОШИБКА")</f>
        <v>OK</v>
      </c>
    </row>
    <row r="22" customFormat="false" ht="15" hidden="false" customHeight="false" outlineLevel="0" collapsed="false">
      <c r="A22" s="5" t="n">
        <v>18</v>
      </c>
      <c r="B22" s="18" t="s">
        <v>112</v>
      </c>
      <c r="C22" s="19" t="s">
        <v>113</v>
      </c>
      <c r="D22" s="19" t="n">
        <v>1</v>
      </c>
      <c r="E22" s="19" t="n">
        <v>1</v>
      </c>
      <c r="F22" s="19" t="s">
        <v>114</v>
      </c>
      <c r="G22" s="20" t="str">
        <f aca="false">B22&amp;" | место "&amp;E22</f>
        <v>UZ95-043-2026 | место 1</v>
      </c>
      <c r="H22" s="19" t="s">
        <v>126</v>
      </c>
      <c r="I22" s="19" t="s">
        <v>126</v>
      </c>
      <c r="J22" s="21" t="s">
        <v>127</v>
      </c>
      <c r="K22" s="21" t="s">
        <v>128</v>
      </c>
      <c r="L22" s="21" t="s">
        <v>128</v>
      </c>
      <c r="M22" s="19" t="s">
        <v>129</v>
      </c>
      <c r="N22" s="22" t="n">
        <v>1</v>
      </c>
      <c r="O22" s="22" t="n">
        <v>1</v>
      </c>
      <c r="P22" s="19" t="s">
        <v>66</v>
      </c>
      <c r="Q22" s="19" t="s">
        <v>67</v>
      </c>
      <c r="R22" s="23" t="n">
        <v>841.71</v>
      </c>
      <c r="S22" s="23" t="n">
        <v>841.71</v>
      </c>
      <c r="T22" s="24" t="n">
        <v>7</v>
      </c>
      <c r="U22" s="23" t="n">
        <v>7</v>
      </c>
      <c r="V22" s="23" t="n">
        <v>235</v>
      </c>
      <c r="W22" s="8" t="n">
        <f aca="false">SUMIFS($U$5:$U$44,$G$5:$G$44,G22)</f>
        <v>191.7</v>
      </c>
      <c r="X22" s="8" t="n">
        <f aca="false">ROUND(V22*U22/W22,2)</f>
        <v>8.58</v>
      </c>
      <c r="Y22" s="5" t="n">
        <f aca="false">IF(AND(U22=_xlfn.MAXIFS($U$5:$U$44,$G$5:$G$44,G22),COUNTIFS($G$5:G22,G22,$U$5:U22,U22)=1),1,0)</f>
        <v>0</v>
      </c>
      <c r="Z22" s="8" t="n">
        <f aca="false">ROUND(IF(Y22=1,V22-(SUMIFS($X$5:$X$44,$G$5:$G$44,G22)-X22),X22),2)</f>
        <v>8.58</v>
      </c>
      <c r="AA22" s="5" t="str">
        <f aca="false">IF(ABS(N22*R22-S22)&lt;0.005,"OK","ОШИБКА")</f>
        <v>OK</v>
      </c>
      <c r="AB22" s="5" t="str">
        <f aca="false">IF(ABS(O22*T22-U22)&lt;0.0005,"OK","ОШИБКА")</f>
        <v>OK</v>
      </c>
      <c r="AC22" s="5" t="str">
        <f aca="false">IF(H22=I22,"OK","ОШИБКА")</f>
        <v>OK</v>
      </c>
      <c r="AD22" s="5" t="str">
        <f aca="false">IF(K22=L22,"OK","ОШИБКА")</f>
        <v>OK</v>
      </c>
      <c r="AE22" s="5" t="str">
        <f aca="false">IF(N22=O22,"OK","ОШИБКА")</f>
        <v>OK</v>
      </c>
    </row>
    <row r="23" customFormat="false" ht="15" hidden="false" customHeight="false" outlineLevel="0" collapsed="false">
      <c r="A23" s="5" t="n">
        <v>19</v>
      </c>
      <c r="B23" s="18" t="s">
        <v>112</v>
      </c>
      <c r="C23" s="19" t="s">
        <v>113</v>
      </c>
      <c r="D23" s="19" t="n">
        <v>1</v>
      </c>
      <c r="E23" s="19" t="n">
        <v>1</v>
      </c>
      <c r="F23" s="19" t="s">
        <v>114</v>
      </c>
      <c r="G23" s="20" t="str">
        <f aca="false">B23&amp;" | место "&amp;E23</f>
        <v>UZ95-043-2026 | место 1</v>
      </c>
      <c r="H23" s="19" t="s">
        <v>130</v>
      </c>
      <c r="I23" s="19" t="s">
        <v>130</v>
      </c>
      <c r="J23" s="21" t="s">
        <v>131</v>
      </c>
      <c r="K23" s="21" t="s">
        <v>132</v>
      </c>
      <c r="L23" s="21" t="s">
        <v>132</v>
      </c>
      <c r="M23" s="19" t="s">
        <v>125</v>
      </c>
      <c r="N23" s="22" t="n">
        <v>2</v>
      </c>
      <c r="O23" s="22" t="n">
        <v>2</v>
      </c>
      <c r="P23" s="19" t="s">
        <v>66</v>
      </c>
      <c r="Q23" s="19" t="s">
        <v>67</v>
      </c>
      <c r="R23" s="23" t="n">
        <v>590.65</v>
      </c>
      <c r="S23" s="23" t="n">
        <v>1181.3</v>
      </c>
      <c r="T23" s="24" t="n">
        <v>13</v>
      </c>
      <c r="U23" s="23" t="n">
        <v>26</v>
      </c>
      <c r="V23" s="23" t="n">
        <v>235</v>
      </c>
      <c r="W23" s="8" t="n">
        <f aca="false">SUMIFS($U$5:$U$44,$G$5:$G$44,G23)</f>
        <v>191.7</v>
      </c>
      <c r="X23" s="8" t="n">
        <f aca="false">ROUND(V23*U23/W23,2)</f>
        <v>31.87</v>
      </c>
      <c r="Y23" s="5" t="n">
        <f aca="false">IF(AND(U23=_xlfn.MAXIFS($U$5:$U$44,$G$5:$G$44,G23),COUNTIFS($G$5:G23,G23,$U$5:U23,U23)=1),1,0)</f>
        <v>0</v>
      </c>
      <c r="Z23" s="8" t="n">
        <f aca="false">ROUND(IF(Y23=1,V23-(SUMIFS($X$5:$X$44,$G$5:$G$44,G23)-X23),X23),2)</f>
        <v>31.87</v>
      </c>
      <c r="AA23" s="5" t="str">
        <f aca="false">IF(ABS(N23*R23-S23)&lt;0.005,"OK","ОШИБКА")</f>
        <v>OK</v>
      </c>
      <c r="AB23" s="5" t="str">
        <f aca="false">IF(ABS(O23*T23-U23)&lt;0.0005,"OK","ОШИБКА")</f>
        <v>OK</v>
      </c>
      <c r="AC23" s="5" t="str">
        <f aca="false">IF(H23=I23,"OK","ОШИБКА")</f>
        <v>OK</v>
      </c>
      <c r="AD23" s="5" t="str">
        <f aca="false">IF(K23=L23,"OK","ОШИБКА")</f>
        <v>OK</v>
      </c>
      <c r="AE23" s="5" t="str">
        <f aca="false">IF(N23=O23,"OK","ОШИБКА")</f>
        <v>OK</v>
      </c>
    </row>
    <row r="24" customFormat="false" ht="15" hidden="false" customHeight="false" outlineLevel="0" collapsed="false">
      <c r="A24" s="5" t="n">
        <v>20</v>
      </c>
      <c r="B24" s="18" t="s">
        <v>112</v>
      </c>
      <c r="C24" s="19" t="s">
        <v>113</v>
      </c>
      <c r="D24" s="19" t="n">
        <v>1</v>
      </c>
      <c r="E24" s="19" t="n">
        <v>1</v>
      </c>
      <c r="F24" s="19" t="s">
        <v>114</v>
      </c>
      <c r="G24" s="20" t="str">
        <f aca="false">B24&amp;" | место "&amp;E24</f>
        <v>UZ95-043-2026 | место 1</v>
      </c>
      <c r="H24" s="19" t="s">
        <v>133</v>
      </c>
      <c r="I24" s="19" t="s">
        <v>133</v>
      </c>
      <c r="J24" s="21" t="s">
        <v>134</v>
      </c>
      <c r="K24" s="21" t="s">
        <v>135</v>
      </c>
      <c r="L24" s="21" t="s">
        <v>135</v>
      </c>
      <c r="M24" s="19" t="s">
        <v>80</v>
      </c>
      <c r="N24" s="22" t="n">
        <v>2</v>
      </c>
      <c r="O24" s="22" t="n">
        <v>2</v>
      </c>
      <c r="P24" s="19" t="s">
        <v>66</v>
      </c>
      <c r="Q24" s="19" t="s">
        <v>67</v>
      </c>
      <c r="R24" s="23" t="n">
        <v>471</v>
      </c>
      <c r="S24" s="23" t="n">
        <v>942</v>
      </c>
      <c r="T24" s="24" t="n">
        <v>0.2</v>
      </c>
      <c r="U24" s="23" t="n">
        <v>0.4</v>
      </c>
      <c r="V24" s="23" t="n">
        <v>235</v>
      </c>
      <c r="W24" s="8" t="n">
        <f aca="false">SUMIFS($U$5:$U$44,$G$5:$G$44,G24)</f>
        <v>191.7</v>
      </c>
      <c r="X24" s="8" t="n">
        <f aca="false">ROUND(V24*U24/W24,2)</f>
        <v>0.49</v>
      </c>
      <c r="Y24" s="5" t="n">
        <f aca="false">IF(AND(U24=_xlfn.MAXIFS($U$5:$U$44,$G$5:$G$44,G24),COUNTIFS($G$5:G24,G24,$U$5:U24,U24)=1),1,0)</f>
        <v>0</v>
      </c>
      <c r="Z24" s="8" t="n">
        <f aca="false">ROUND(IF(Y24=1,V24-(SUMIFS($X$5:$X$44,$G$5:$G$44,G24)-X24),X24),2)</f>
        <v>0.49</v>
      </c>
      <c r="AA24" s="5" t="str">
        <f aca="false">IF(ABS(N24*R24-S24)&lt;0.005,"OK","ОШИБКА")</f>
        <v>OK</v>
      </c>
      <c r="AB24" s="5" t="str">
        <f aca="false">IF(ABS(O24*T24-U24)&lt;0.0005,"OK","ОШИБКА")</f>
        <v>OK</v>
      </c>
      <c r="AC24" s="5" t="str">
        <f aca="false">IF(H24=I24,"OK","ОШИБКА")</f>
        <v>OK</v>
      </c>
      <c r="AD24" s="5" t="str">
        <f aca="false">IF(K24=L24,"OK","ОШИБКА")</f>
        <v>OK</v>
      </c>
      <c r="AE24" s="5" t="str">
        <f aca="false">IF(N24=O24,"OK","ОШИБКА")</f>
        <v>OK</v>
      </c>
    </row>
    <row r="25" customFormat="false" ht="15" hidden="false" customHeight="false" outlineLevel="0" collapsed="false">
      <c r="A25" s="5" t="n">
        <v>21</v>
      </c>
      <c r="B25" s="18" t="s">
        <v>112</v>
      </c>
      <c r="C25" s="19" t="s">
        <v>113</v>
      </c>
      <c r="D25" s="19" t="n">
        <v>1</v>
      </c>
      <c r="E25" s="19" t="n">
        <v>1</v>
      </c>
      <c r="F25" s="19" t="s">
        <v>114</v>
      </c>
      <c r="G25" s="20" t="str">
        <f aca="false">B25&amp;" | место "&amp;E25</f>
        <v>UZ95-043-2026 | место 1</v>
      </c>
      <c r="H25" s="19" t="s">
        <v>136</v>
      </c>
      <c r="I25" s="19" t="s">
        <v>136</v>
      </c>
      <c r="J25" s="21" t="s">
        <v>137</v>
      </c>
      <c r="K25" s="21" t="s">
        <v>138</v>
      </c>
      <c r="L25" s="21" t="s">
        <v>138</v>
      </c>
      <c r="M25" s="19" t="s">
        <v>93</v>
      </c>
      <c r="N25" s="22" t="n">
        <v>1</v>
      </c>
      <c r="O25" s="22" t="n">
        <v>1</v>
      </c>
      <c r="P25" s="19" t="s">
        <v>66</v>
      </c>
      <c r="Q25" s="19" t="s">
        <v>67</v>
      </c>
      <c r="R25" s="23" t="n">
        <v>386.02</v>
      </c>
      <c r="S25" s="23" t="n">
        <v>386.02</v>
      </c>
      <c r="T25" s="24" t="n">
        <v>0.2</v>
      </c>
      <c r="U25" s="23" t="n">
        <v>0.2</v>
      </c>
      <c r="V25" s="23" t="n">
        <v>235</v>
      </c>
      <c r="W25" s="8" t="n">
        <f aca="false">SUMIFS($U$5:$U$44,$G$5:$G$44,G25)</f>
        <v>191.7</v>
      </c>
      <c r="X25" s="8" t="n">
        <f aca="false">ROUND(V25*U25/W25,2)</f>
        <v>0.25</v>
      </c>
      <c r="Y25" s="5" t="n">
        <f aca="false">IF(AND(U25=_xlfn.MAXIFS($U$5:$U$44,$G$5:$G$44,G25),COUNTIFS($G$5:G25,G25,$U$5:U25,U25)=1),1,0)</f>
        <v>0</v>
      </c>
      <c r="Z25" s="8" t="n">
        <f aca="false">ROUND(IF(Y25=1,V25-(SUMIFS($X$5:$X$44,$G$5:$G$44,G25)-X25),X25),2)</f>
        <v>0.25</v>
      </c>
      <c r="AA25" s="5" t="str">
        <f aca="false">IF(ABS(N25*R25-S25)&lt;0.005,"OK","ОШИБКА")</f>
        <v>OK</v>
      </c>
      <c r="AB25" s="5" t="str">
        <f aca="false">IF(ABS(O25*T25-U25)&lt;0.0005,"OK","ОШИБКА")</f>
        <v>OK</v>
      </c>
      <c r="AC25" s="5" t="str">
        <f aca="false">IF(H25=I25,"OK","ОШИБКА")</f>
        <v>OK</v>
      </c>
      <c r="AD25" s="5" t="str">
        <f aca="false">IF(K25=L25,"OK","ОШИБКА")</f>
        <v>OK</v>
      </c>
      <c r="AE25" s="5" t="str">
        <f aca="false">IF(N25=O25,"OK","ОШИБКА")</f>
        <v>OK</v>
      </c>
    </row>
    <row r="26" customFormat="false" ht="15" hidden="false" customHeight="false" outlineLevel="0" collapsed="false">
      <c r="A26" s="5" t="n">
        <v>22</v>
      </c>
      <c r="B26" s="18" t="s">
        <v>112</v>
      </c>
      <c r="C26" s="19" t="s">
        <v>113</v>
      </c>
      <c r="D26" s="19" t="n">
        <v>1</v>
      </c>
      <c r="E26" s="19" t="n">
        <v>1</v>
      </c>
      <c r="F26" s="19" t="s">
        <v>114</v>
      </c>
      <c r="G26" s="20" t="str">
        <f aca="false">B26&amp;" | место "&amp;E26</f>
        <v>UZ95-043-2026 | место 1</v>
      </c>
      <c r="H26" s="19" t="s">
        <v>139</v>
      </c>
      <c r="I26" s="19" t="s">
        <v>139</v>
      </c>
      <c r="J26" s="21" t="s">
        <v>140</v>
      </c>
      <c r="K26" s="21" t="s">
        <v>141</v>
      </c>
      <c r="L26" s="21" t="s">
        <v>141</v>
      </c>
      <c r="M26" s="19" t="s">
        <v>129</v>
      </c>
      <c r="N26" s="22" t="n">
        <v>1</v>
      </c>
      <c r="O26" s="22" t="n">
        <v>1</v>
      </c>
      <c r="P26" s="19" t="s">
        <v>66</v>
      </c>
      <c r="Q26" s="19" t="s">
        <v>67</v>
      </c>
      <c r="R26" s="23" t="n">
        <v>204</v>
      </c>
      <c r="S26" s="23" t="n">
        <v>204</v>
      </c>
      <c r="T26" s="24" t="n">
        <v>7</v>
      </c>
      <c r="U26" s="23" t="n">
        <v>7</v>
      </c>
      <c r="V26" s="23" t="n">
        <v>235</v>
      </c>
      <c r="W26" s="8" t="n">
        <f aca="false">SUMIFS($U$5:$U$44,$G$5:$G$44,G26)</f>
        <v>191.7</v>
      </c>
      <c r="X26" s="8" t="n">
        <f aca="false">ROUND(V26*U26/W26,2)</f>
        <v>8.58</v>
      </c>
      <c r="Y26" s="5" t="n">
        <f aca="false">IF(AND(U26=_xlfn.MAXIFS($U$5:$U$44,$G$5:$G$44,G26),COUNTIFS($G$5:G26,G26,$U$5:U26,U26)=1),1,0)</f>
        <v>0</v>
      </c>
      <c r="Z26" s="8" t="n">
        <f aca="false">ROUND(IF(Y26=1,V26-(SUMIFS($X$5:$X$44,$G$5:$G$44,G26)-X26),X26),2)</f>
        <v>8.58</v>
      </c>
      <c r="AA26" s="5" t="str">
        <f aca="false">IF(ABS(N26*R26-S26)&lt;0.005,"OK","ОШИБКА")</f>
        <v>OK</v>
      </c>
      <c r="AB26" s="5" t="str">
        <f aca="false">IF(ABS(O26*T26-U26)&lt;0.0005,"OK","ОШИБКА")</f>
        <v>OK</v>
      </c>
      <c r="AC26" s="5" t="str">
        <f aca="false">IF(H26=I26,"OK","ОШИБКА")</f>
        <v>OK</v>
      </c>
      <c r="AD26" s="5" t="str">
        <f aca="false">IF(K26=L26,"OK","ОШИБКА")</f>
        <v>OK</v>
      </c>
      <c r="AE26" s="5" t="str">
        <f aca="false">IF(N26=O26,"OK","ОШИБКА")</f>
        <v>OK</v>
      </c>
    </row>
    <row r="27" customFormat="false" ht="15" hidden="false" customHeight="false" outlineLevel="0" collapsed="false">
      <c r="A27" s="5" t="n">
        <v>23</v>
      </c>
      <c r="B27" s="18" t="s">
        <v>112</v>
      </c>
      <c r="C27" s="19" t="s">
        <v>113</v>
      </c>
      <c r="D27" s="19" t="n">
        <v>1</v>
      </c>
      <c r="E27" s="19" t="n">
        <v>1</v>
      </c>
      <c r="F27" s="19" t="s">
        <v>114</v>
      </c>
      <c r="G27" s="20" t="str">
        <f aca="false">B27&amp;" | место "&amp;E27</f>
        <v>UZ95-043-2026 | место 1</v>
      </c>
      <c r="H27" s="19" t="s">
        <v>142</v>
      </c>
      <c r="I27" s="19" t="s">
        <v>142</v>
      </c>
      <c r="J27" s="21" t="s">
        <v>143</v>
      </c>
      <c r="K27" s="21" t="s">
        <v>144</v>
      </c>
      <c r="L27" s="21" t="s">
        <v>144</v>
      </c>
      <c r="M27" s="19" t="s">
        <v>145</v>
      </c>
      <c r="N27" s="22" t="n">
        <v>4</v>
      </c>
      <c r="O27" s="22" t="n">
        <v>4</v>
      </c>
      <c r="P27" s="19" t="s">
        <v>66</v>
      </c>
      <c r="Q27" s="19" t="s">
        <v>67</v>
      </c>
      <c r="R27" s="23" t="n">
        <v>496.75</v>
      </c>
      <c r="S27" s="23" t="n">
        <v>1987</v>
      </c>
      <c r="T27" s="24" t="n">
        <v>0.8</v>
      </c>
      <c r="U27" s="23" t="n">
        <v>3.2</v>
      </c>
      <c r="V27" s="23" t="n">
        <v>235</v>
      </c>
      <c r="W27" s="8" t="n">
        <f aca="false">SUMIFS($U$5:$U$44,$G$5:$G$44,G27)</f>
        <v>191.7</v>
      </c>
      <c r="X27" s="8" t="n">
        <f aca="false">ROUND(V27*U27/W27,2)</f>
        <v>3.92</v>
      </c>
      <c r="Y27" s="5" t="n">
        <f aca="false">IF(AND(U27=_xlfn.MAXIFS($U$5:$U$44,$G$5:$G$44,G27),COUNTIFS($G$5:G27,G27,$U$5:U27,U27)=1),1,0)</f>
        <v>0</v>
      </c>
      <c r="Z27" s="8" t="n">
        <f aca="false">ROUND(IF(Y27=1,V27-(SUMIFS($X$5:$X$44,$G$5:$G$44,G27)-X27),X27),2)</f>
        <v>3.92</v>
      </c>
      <c r="AA27" s="5" t="str">
        <f aca="false">IF(ABS(N27*R27-S27)&lt;0.005,"OK","ОШИБКА")</f>
        <v>OK</v>
      </c>
      <c r="AB27" s="5" t="str">
        <f aca="false">IF(ABS(O27*T27-U27)&lt;0.0005,"OK","ОШИБКА")</f>
        <v>OK</v>
      </c>
      <c r="AC27" s="5" t="str">
        <f aca="false">IF(H27=I27,"OK","ОШИБКА")</f>
        <v>OK</v>
      </c>
      <c r="AD27" s="5" t="str">
        <f aca="false">IF(K27=L27,"OK","ОШИБКА")</f>
        <v>OK</v>
      </c>
      <c r="AE27" s="5" t="str">
        <f aca="false">IF(N27=O27,"OK","ОШИБКА")</f>
        <v>OK</v>
      </c>
    </row>
    <row r="28" customFormat="false" ht="15" hidden="false" customHeight="false" outlineLevel="0" collapsed="false">
      <c r="A28" s="5" t="n">
        <v>24</v>
      </c>
      <c r="B28" s="18" t="s">
        <v>112</v>
      </c>
      <c r="C28" s="19" t="s">
        <v>113</v>
      </c>
      <c r="D28" s="19" t="n">
        <v>1</v>
      </c>
      <c r="E28" s="19" t="n">
        <v>1</v>
      </c>
      <c r="F28" s="19" t="s">
        <v>114</v>
      </c>
      <c r="G28" s="20" t="str">
        <f aca="false">B28&amp;" | место "&amp;E28</f>
        <v>UZ95-043-2026 | место 1</v>
      </c>
      <c r="H28" s="19" t="s">
        <v>146</v>
      </c>
      <c r="I28" s="19" t="s">
        <v>146</v>
      </c>
      <c r="J28" s="21" t="s">
        <v>147</v>
      </c>
      <c r="K28" s="21" t="s">
        <v>148</v>
      </c>
      <c r="L28" s="21" t="s">
        <v>148</v>
      </c>
      <c r="M28" s="19" t="s">
        <v>80</v>
      </c>
      <c r="N28" s="22" t="n">
        <v>1</v>
      </c>
      <c r="O28" s="22" t="n">
        <v>1</v>
      </c>
      <c r="P28" s="19" t="s">
        <v>66</v>
      </c>
      <c r="Q28" s="19" t="s">
        <v>67</v>
      </c>
      <c r="R28" s="23" t="n">
        <v>497.2</v>
      </c>
      <c r="S28" s="23" t="n">
        <v>497.2</v>
      </c>
      <c r="T28" s="24" t="n">
        <v>0.4</v>
      </c>
      <c r="U28" s="23" t="n">
        <v>0.4</v>
      </c>
      <c r="V28" s="23" t="n">
        <v>235</v>
      </c>
      <c r="W28" s="8" t="n">
        <f aca="false">SUMIFS($U$5:$U$44,$G$5:$G$44,G28)</f>
        <v>191.7</v>
      </c>
      <c r="X28" s="8" t="n">
        <f aca="false">ROUND(V28*U28/W28,2)</f>
        <v>0.49</v>
      </c>
      <c r="Y28" s="5" t="n">
        <f aca="false">IF(AND(U28=_xlfn.MAXIFS($U$5:$U$44,$G$5:$G$44,G28),COUNTIFS($G$5:G28,G28,$U$5:U28,U28)=1),1,0)</f>
        <v>0</v>
      </c>
      <c r="Z28" s="8" t="n">
        <f aca="false">ROUND(IF(Y28=1,V28-(SUMIFS($X$5:$X$44,$G$5:$G$44,G28)-X28),X28),2)</f>
        <v>0.49</v>
      </c>
      <c r="AA28" s="5" t="str">
        <f aca="false">IF(ABS(N28*R28-S28)&lt;0.005,"OK","ОШИБКА")</f>
        <v>OK</v>
      </c>
      <c r="AB28" s="5" t="str">
        <f aca="false">IF(ABS(O28*T28-U28)&lt;0.0005,"OK","ОШИБКА")</f>
        <v>OK</v>
      </c>
      <c r="AC28" s="5" t="str">
        <f aca="false">IF(H28=I28,"OK","ОШИБКА")</f>
        <v>OK</v>
      </c>
      <c r="AD28" s="5" t="str">
        <f aca="false">IF(K28=L28,"OK","ОШИБКА")</f>
        <v>OK</v>
      </c>
      <c r="AE28" s="5" t="str">
        <f aca="false">IF(N28=O28,"OK","ОШИБКА")</f>
        <v>OK</v>
      </c>
    </row>
    <row r="29" customFormat="false" ht="15" hidden="false" customHeight="false" outlineLevel="0" collapsed="false">
      <c r="A29" s="5" t="n">
        <v>25</v>
      </c>
      <c r="B29" s="18" t="s">
        <v>112</v>
      </c>
      <c r="C29" s="19" t="s">
        <v>113</v>
      </c>
      <c r="D29" s="19" t="n">
        <v>1</v>
      </c>
      <c r="E29" s="19" t="n">
        <v>1</v>
      </c>
      <c r="F29" s="19" t="s">
        <v>114</v>
      </c>
      <c r="G29" s="20" t="str">
        <f aca="false">B29&amp;" | место "&amp;E29</f>
        <v>UZ95-043-2026 | место 1</v>
      </c>
      <c r="H29" s="19" t="s">
        <v>149</v>
      </c>
      <c r="I29" s="19" t="s">
        <v>149</v>
      </c>
      <c r="J29" s="21" t="s">
        <v>150</v>
      </c>
      <c r="K29" s="21" t="s">
        <v>151</v>
      </c>
      <c r="L29" s="21" t="s">
        <v>151</v>
      </c>
      <c r="M29" s="19" t="s">
        <v>152</v>
      </c>
      <c r="N29" s="22" t="n">
        <v>2</v>
      </c>
      <c r="O29" s="22" t="n">
        <v>2</v>
      </c>
      <c r="P29" s="19" t="s">
        <v>66</v>
      </c>
      <c r="Q29" s="19" t="s">
        <v>67</v>
      </c>
      <c r="R29" s="23" t="n">
        <v>1200</v>
      </c>
      <c r="S29" s="23" t="n">
        <v>2400</v>
      </c>
      <c r="T29" s="24" t="n">
        <v>31</v>
      </c>
      <c r="U29" s="23" t="n">
        <v>62</v>
      </c>
      <c r="V29" s="23" t="n">
        <v>235</v>
      </c>
      <c r="W29" s="8" t="n">
        <f aca="false">SUMIFS($U$5:$U$44,$G$5:$G$44,G29)</f>
        <v>191.7</v>
      </c>
      <c r="X29" s="8" t="n">
        <f aca="false">ROUND(V29*U29/W29,2)</f>
        <v>76</v>
      </c>
      <c r="Y29" s="5" t="n">
        <f aca="false">IF(AND(U29=_xlfn.MAXIFS($U$5:$U$44,$G$5:$G$44,G29),COUNTIFS($G$5:G29,G29,$U$5:U29,U29)=1),1,0)</f>
        <v>0</v>
      </c>
      <c r="Z29" s="8" t="n">
        <f aca="false">ROUND(IF(Y29=1,V29-(SUMIFS($X$5:$X$44,$G$5:$G$44,G29)-X29),X29),2)</f>
        <v>76</v>
      </c>
      <c r="AA29" s="5" t="str">
        <f aca="false">IF(ABS(N29*R29-S29)&lt;0.005,"OK","ОШИБКА")</f>
        <v>OK</v>
      </c>
      <c r="AB29" s="5" t="str">
        <f aca="false">IF(ABS(O29*T29-U29)&lt;0.0005,"OK","ОШИБКА")</f>
        <v>OK</v>
      </c>
      <c r="AC29" s="5" t="str">
        <f aca="false">IF(H29=I29,"OK","ОШИБКА")</f>
        <v>OK</v>
      </c>
      <c r="AD29" s="5" t="str">
        <f aca="false">IF(K29=L29,"OK","ОШИБКА")</f>
        <v>OK</v>
      </c>
      <c r="AE29" s="5" t="str">
        <f aca="false">IF(N29=O29,"OK","ОШИБКА")</f>
        <v>OK</v>
      </c>
    </row>
    <row r="30" customFormat="false" ht="15" hidden="false" customHeight="false" outlineLevel="0" collapsed="false">
      <c r="A30" s="5" t="n">
        <v>26</v>
      </c>
      <c r="B30" s="18" t="s">
        <v>112</v>
      </c>
      <c r="C30" s="19" t="s">
        <v>113</v>
      </c>
      <c r="D30" s="19" t="n">
        <v>1</v>
      </c>
      <c r="E30" s="19" t="n">
        <v>1</v>
      </c>
      <c r="F30" s="19" t="s">
        <v>114</v>
      </c>
      <c r="G30" s="20" t="str">
        <f aca="false">B30&amp;" | место "&amp;E30</f>
        <v>UZ95-043-2026 | место 1</v>
      </c>
      <c r="H30" s="19" t="s">
        <v>153</v>
      </c>
      <c r="I30" s="19" t="s">
        <v>153</v>
      </c>
      <c r="J30" s="21" t="s">
        <v>154</v>
      </c>
      <c r="K30" s="21" t="s">
        <v>155</v>
      </c>
      <c r="L30" s="21" t="s">
        <v>155</v>
      </c>
      <c r="M30" s="19" t="s">
        <v>156</v>
      </c>
      <c r="N30" s="22" t="n">
        <v>1</v>
      </c>
      <c r="O30" s="22" t="n">
        <v>1</v>
      </c>
      <c r="P30" s="19" t="s">
        <v>66</v>
      </c>
      <c r="Q30" s="19" t="s">
        <v>67</v>
      </c>
      <c r="R30" s="23" t="n">
        <v>845</v>
      </c>
      <c r="S30" s="23" t="n">
        <v>845</v>
      </c>
      <c r="T30" s="24" t="n">
        <v>2</v>
      </c>
      <c r="U30" s="23" t="n">
        <v>2</v>
      </c>
      <c r="V30" s="23" t="n">
        <v>235</v>
      </c>
      <c r="W30" s="8" t="n">
        <f aca="false">SUMIFS($U$5:$U$44,$G$5:$G$44,G30)</f>
        <v>191.7</v>
      </c>
      <c r="X30" s="8" t="n">
        <f aca="false">ROUND(V30*U30/W30,2)</f>
        <v>2.45</v>
      </c>
      <c r="Y30" s="5" t="n">
        <f aca="false">IF(AND(U30=_xlfn.MAXIFS($U$5:$U$44,$G$5:$G$44,G30),COUNTIFS($G$5:G30,G30,$U$5:U30,U30)=1),1,0)</f>
        <v>0</v>
      </c>
      <c r="Z30" s="8" t="n">
        <f aca="false">ROUND(IF(Y30=1,V30-(SUMIFS($X$5:$X$44,$G$5:$G$44,G30)-X30),X30),2)</f>
        <v>2.45</v>
      </c>
      <c r="AA30" s="5" t="str">
        <f aca="false">IF(ABS(N30*R30-S30)&lt;0.005,"OK","ОШИБКА")</f>
        <v>OK</v>
      </c>
      <c r="AB30" s="5" t="str">
        <f aca="false">IF(ABS(O30*T30-U30)&lt;0.0005,"OK","ОШИБКА")</f>
        <v>OK</v>
      </c>
      <c r="AC30" s="5" t="str">
        <f aca="false">IF(H30=I30,"OK","ОШИБКА")</f>
        <v>OK</v>
      </c>
      <c r="AD30" s="5" t="str">
        <f aca="false">IF(K30=L30,"OK","ОШИБКА")</f>
        <v>OK</v>
      </c>
      <c r="AE30" s="5" t="str">
        <f aca="false">IF(N30=O30,"OK","ОШИБКА")</f>
        <v>OK</v>
      </c>
    </row>
    <row r="31" customFormat="false" ht="15" hidden="false" customHeight="false" outlineLevel="0" collapsed="false">
      <c r="A31" s="5" t="n">
        <v>27</v>
      </c>
      <c r="B31" s="18" t="s">
        <v>112</v>
      </c>
      <c r="C31" s="19" t="s">
        <v>113</v>
      </c>
      <c r="D31" s="19" t="n">
        <v>1</v>
      </c>
      <c r="E31" s="19" t="n">
        <v>1</v>
      </c>
      <c r="F31" s="19" t="s">
        <v>114</v>
      </c>
      <c r="G31" s="20" t="str">
        <f aca="false">B31&amp;" | место "&amp;E31</f>
        <v>UZ95-043-2026 | место 1</v>
      </c>
      <c r="H31" s="19" t="s">
        <v>157</v>
      </c>
      <c r="I31" s="19" t="s">
        <v>157</v>
      </c>
      <c r="J31" s="21" t="s">
        <v>158</v>
      </c>
      <c r="K31" s="21" t="s">
        <v>159</v>
      </c>
      <c r="L31" s="21" t="s">
        <v>159</v>
      </c>
      <c r="M31" s="19" t="s">
        <v>80</v>
      </c>
      <c r="N31" s="22" t="n">
        <v>1</v>
      </c>
      <c r="O31" s="22" t="n">
        <v>1</v>
      </c>
      <c r="P31" s="19" t="s">
        <v>66</v>
      </c>
      <c r="Q31" s="19" t="s">
        <v>67</v>
      </c>
      <c r="R31" s="23" t="n">
        <v>350</v>
      </c>
      <c r="S31" s="23" t="n">
        <v>350</v>
      </c>
      <c r="T31" s="24" t="n">
        <v>0.3</v>
      </c>
      <c r="U31" s="23" t="n">
        <v>0.3</v>
      </c>
      <c r="V31" s="23" t="n">
        <v>235</v>
      </c>
      <c r="W31" s="8" t="n">
        <f aca="false">SUMIFS($U$5:$U$44,$G$5:$G$44,G31)</f>
        <v>191.7</v>
      </c>
      <c r="X31" s="8" t="n">
        <f aca="false">ROUND(V31*U31/W31,2)</f>
        <v>0.37</v>
      </c>
      <c r="Y31" s="5" t="n">
        <f aca="false">IF(AND(U31=_xlfn.MAXIFS($U$5:$U$44,$G$5:$G$44,G31),COUNTIFS($G$5:G31,G31,$U$5:U31,U31)=1),1,0)</f>
        <v>0</v>
      </c>
      <c r="Z31" s="8" t="n">
        <f aca="false">ROUND(IF(Y31=1,V31-(SUMIFS($X$5:$X$44,$G$5:$G$44,G31)-X31),X31),2)</f>
        <v>0.37</v>
      </c>
      <c r="AA31" s="5" t="str">
        <f aca="false">IF(ABS(N31*R31-S31)&lt;0.005,"OK","ОШИБКА")</f>
        <v>OK</v>
      </c>
      <c r="AB31" s="5" t="str">
        <f aca="false">IF(ABS(O31*T31-U31)&lt;0.0005,"OK","ОШИБКА")</f>
        <v>OK</v>
      </c>
      <c r="AC31" s="5" t="str">
        <f aca="false">IF(H31=I31,"OK","ОШИБКА")</f>
        <v>OK</v>
      </c>
      <c r="AD31" s="5" t="str">
        <f aca="false">IF(K31=L31,"OK","ОШИБКА")</f>
        <v>OK</v>
      </c>
      <c r="AE31" s="5" t="str">
        <f aca="false">IF(N31=O31,"OK","ОШИБКА")</f>
        <v>OK</v>
      </c>
    </row>
    <row r="32" customFormat="false" ht="15" hidden="false" customHeight="false" outlineLevel="0" collapsed="false">
      <c r="A32" s="5" t="n">
        <v>28</v>
      </c>
      <c r="B32" s="18" t="s">
        <v>112</v>
      </c>
      <c r="C32" s="19" t="s">
        <v>113</v>
      </c>
      <c r="D32" s="19" t="n">
        <v>1</v>
      </c>
      <c r="E32" s="19" t="n">
        <v>1</v>
      </c>
      <c r="F32" s="19" t="s">
        <v>114</v>
      </c>
      <c r="G32" s="20" t="str">
        <f aca="false">B32&amp;" | место "&amp;E32</f>
        <v>UZ95-043-2026 | место 1</v>
      </c>
      <c r="H32" s="19" t="s">
        <v>160</v>
      </c>
      <c r="I32" s="19" t="s">
        <v>160</v>
      </c>
      <c r="J32" s="21" t="s">
        <v>161</v>
      </c>
      <c r="K32" s="21" t="s">
        <v>162</v>
      </c>
      <c r="L32" s="21" t="s">
        <v>162</v>
      </c>
      <c r="M32" s="19" t="s">
        <v>163</v>
      </c>
      <c r="N32" s="22" t="n">
        <v>1</v>
      </c>
      <c r="O32" s="22" t="n">
        <v>1</v>
      </c>
      <c r="P32" s="19" t="s">
        <v>66</v>
      </c>
      <c r="Q32" s="19" t="s">
        <v>67</v>
      </c>
      <c r="R32" s="23" t="n">
        <v>148.56</v>
      </c>
      <c r="S32" s="23" t="n">
        <v>148.56</v>
      </c>
      <c r="T32" s="24" t="n">
        <v>2</v>
      </c>
      <c r="U32" s="23" t="n">
        <v>2</v>
      </c>
      <c r="V32" s="23" t="n">
        <v>235</v>
      </c>
      <c r="W32" s="8" t="n">
        <f aca="false">SUMIFS($U$5:$U$44,$G$5:$G$44,G32)</f>
        <v>191.7</v>
      </c>
      <c r="X32" s="8" t="n">
        <f aca="false">ROUND(V32*U32/W32,2)</f>
        <v>2.45</v>
      </c>
      <c r="Y32" s="5" t="n">
        <f aca="false">IF(AND(U32=_xlfn.MAXIFS($U$5:$U$44,$G$5:$G$44,G32),COUNTIFS($G$5:G32,G32,$U$5:U32,U32)=1),1,0)</f>
        <v>0</v>
      </c>
      <c r="Z32" s="8" t="n">
        <f aca="false">ROUND(IF(Y32=1,V32-(SUMIFS($X$5:$X$44,$G$5:$G$44,G32)-X32),X32),2)</f>
        <v>2.45</v>
      </c>
      <c r="AA32" s="5" t="str">
        <f aca="false">IF(ABS(N32*R32-S32)&lt;0.005,"OK","ОШИБКА")</f>
        <v>OK</v>
      </c>
      <c r="AB32" s="5" t="str">
        <f aca="false">IF(ABS(O32*T32-U32)&lt;0.0005,"OK","ОШИБКА")</f>
        <v>OK</v>
      </c>
      <c r="AC32" s="5" t="str">
        <f aca="false">IF(H32=I32,"OK","ОШИБКА")</f>
        <v>OK</v>
      </c>
      <c r="AD32" s="5" t="str">
        <f aca="false">IF(K32=L32,"OK","ОШИБКА")</f>
        <v>OK</v>
      </c>
      <c r="AE32" s="5" t="str">
        <f aca="false">IF(N32=O32,"OK","ОШИБКА")</f>
        <v>OK</v>
      </c>
    </row>
    <row r="33" customFormat="false" ht="15" hidden="false" customHeight="false" outlineLevel="0" collapsed="false">
      <c r="A33" s="5" t="n">
        <v>29</v>
      </c>
      <c r="B33" s="18" t="s">
        <v>164</v>
      </c>
      <c r="C33" s="19" t="s">
        <v>165</v>
      </c>
      <c r="D33" s="19" t="n">
        <v>3</v>
      </c>
      <c r="E33" s="19" t="n">
        <v>1</v>
      </c>
      <c r="F33" s="19" t="s">
        <v>166</v>
      </c>
      <c r="G33" s="20" t="str">
        <f aca="false">B33&amp;" | место "&amp;E33</f>
        <v>UZ95-044-2026 | место 1</v>
      </c>
      <c r="H33" s="19" t="s">
        <v>167</v>
      </c>
      <c r="I33" s="19" t="s">
        <v>167</v>
      </c>
      <c r="J33" s="21" t="s">
        <v>168</v>
      </c>
      <c r="K33" s="21" t="s">
        <v>169</v>
      </c>
      <c r="L33" s="21" t="s">
        <v>169</v>
      </c>
      <c r="M33" s="19" t="s">
        <v>170</v>
      </c>
      <c r="N33" s="22" t="n">
        <v>19</v>
      </c>
      <c r="O33" s="22" t="n">
        <v>19</v>
      </c>
      <c r="P33" s="19" t="s">
        <v>66</v>
      </c>
      <c r="Q33" s="19" t="s">
        <v>67</v>
      </c>
      <c r="R33" s="23" t="n">
        <v>40</v>
      </c>
      <c r="S33" s="23" t="n">
        <v>760</v>
      </c>
      <c r="T33" s="24" t="n">
        <v>12</v>
      </c>
      <c r="U33" s="23" t="n">
        <v>228</v>
      </c>
      <c r="V33" s="23" t="n">
        <v>370</v>
      </c>
      <c r="W33" s="8" t="n">
        <f aca="false">SUMIFS($U$5:$U$44,$G$5:$G$44,G33)</f>
        <v>348</v>
      </c>
      <c r="X33" s="8" t="n">
        <f aca="false">ROUND(V33*U33/W33,2)</f>
        <v>242.41</v>
      </c>
      <c r="Y33" s="5" t="n">
        <f aca="false">IF(AND(U33=_xlfn.MAXIFS($U$5:$U$44,$G$5:$G$44,G33),COUNTIFS($G$5:G33,G33,$U$5:U33,U33)=1),1,0)</f>
        <v>1</v>
      </c>
      <c r="Z33" s="8" t="n">
        <f aca="false">ROUND(IF(Y33=1,V33-(SUMIFS($X$5:$X$44,$G$5:$G$44,G33)-X33),X33),2)</f>
        <v>242.41</v>
      </c>
      <c r="AA33" s="5" t="str">
        <f aca="false">IF(ABS(N33*R33-S33)&lt;0.005,"OK","ОШИБКА")</f>
        <v>OK</v>
      </c>
      <c r="AB33" s="5" t="str">
        <f aca="false">IF(ABS(O33*T33-U33)&lt;0.0005,"OK","ОШИБКА")</f>
        <v>OK</v>
      </c>
      <c r="AC33" s="5" t="str">
        <f aca="false">IF(H33=I33,"OK","ОШИБКА")</f>
        <v>OK</v>
      </c>
      <c r="AD33" s="5" t="str">
        <f aca="false">IF(K33=L33,"OK","ОШИБКА")</f>
        <v>OK</v>
      </c>
      <c r="AE33" s="5" t="str">
        <f aca="false">IF(N33=O33,"OK","ОШИБКА")</f>
        <v>OK</v>
      </c>
    </row>
    <row r="34" customFormat="false" ht="15" hidden="false" customHeight="false" outlineLevel="0" collapsed="false">
      <c r="A34" s="5" t="n">
        <v>30</v>
      </c>
      <c r="B34" s="18" t="s">
        <v>164</v>
      </c>
      <c r="C34" s="19" t="s">
        <v>165</v>
      </c>
      <c r="D34" s="19" t="n">
        <v>3</v>
      </c>
      <c r="E34" s="19" t="n">
        <v>1</v>
      </c>
      <c r="F34" s="19" t="s">
        <v>166</v>
      </c>
      <c r="G34" s="20" t="str">
        <f aca="false">B34&amp;" | место "&amp;E34</f>
        <v>UZ95-044-2026 | место 1</v>
      </c>
      <c r="H34" s="19" t="s">
        <v>171</v>
      </c>
      <c r="I34" s="19" t="s">
        <v>171</v>
      </c>
      <c r="J34" s="21" t="s">
        <v>172</v>
      </c>
      <c r="K34" s="21" t="s">
        <v>173</v>
      </c>
      <c r="L34" s="21" t="s">
        <v>173</v>
      </c>
      <c r="M34" s="19" t="s">
        <v>174</v>
      </c>
      <c r="N34" s="22" t="n">
        <v>10</v>
      </c>
      <c r="O34" s="22" t="n">
        <v>10</v>
      </c>
      <c r="P34" s="19" t="s">
        <v>66</v>
      </c>
      <c r="Q34" s="19" t="s">
        <v>67</v>
      </c>
      <c r="R34" s="23" t="n">
        <v>39</v>
      </c>
      <c r="S34" s="23" t="n">
        <v>390</v>
      </c>
      <c r="T34" s="24" t="n">
        <v>12</v>
      </c>
      <c r="U34" s="23" t="n">
        <v>120</v>
      </c>
      <c r="V34" s="23" t="n">
        <v>370</v>
      </c>
      <c r="W34" s="8" t="n">
        <f aca="false">SUMIFS($U$5:$U$44,$G$5:$G$44,G34)</f>
        <v>348</v>
      </c>
      <c r="X34" s="8" t="n">
        <f aca="false">ROUND(V34*U34/W34,2)</f>
        <v>127.59</v>
      </c>
      <c r="Y34" s="5" t="n">
        <f aca="false">IF(AND(U34=_xlfn.MAXIFS($U$5:$U$44,$G$5:$G$44,G34),COUNTIFS($G$5:G34,G34,$U$5:U34,U34)=1),1,0)</f>
        <v>0</v>
      </c>
      <c r="Z34" s="8" t="n">
        <f aca="false">ROUND(IF(Y34=1,V34-(SUMIFS($X$5:$X$44,$G$5:$G$44,G34)-X34),X34),2)</f>
        <v>127.59</v>
      </c>
      <c r="AA34" s="5" t="str">
        <f aca="false">IF(ABS(N34*R34-S34)&lt;0.005,"OK","ОШИБКА")</f>
        <v>OK</v>
      </c>
      <c r="AB34" s="5" t="str">
        <f aca="false">IF(ABS(O34*T34-U34)&lt;0.0005,"OK","ОШИБКА")</f>
        <v>OK</v>
      </c>
      <c r="AC34" s="5" t="str">
        <f aca="false">IF(H34=I34,"OK","ОШИБКА")</f>
        <v>OK</v>
      </c>
      <c r="AD34" s="5" t="str">
        <f aca="false">IF(K34=L34,"OK","ОШИБКА")</f>
        <v>OK</v>
      </c>
      <c r="AE34" s="5" t="str">
        <f aca="false">IF(N34=O34,"OK","ОШИБКА")</f>
        <v>OK</v>
      </c>
    </row>
    <row r="35" customFormat="false" ht="15" hidden="false" customHeight="false" outlineLevel="0" collapsed="false">
      <c r="A35" s="5" t="n">
        <v>31</v>
      </c>
      <c r="B35" s="18" t="s">
        <v>175</v>
      </c>
      <c r="C35" s="19" t="s">
        <v>176</v>
      </c>
      <c r="D35" s="19" t="n">
        <v>4</v>
      </c>
      <c r="E35" s="19" t="n">
        <v>1</v>
      </c>
      <c r="F35" s="19" t="s">
        <v>166</v>
      </c>
      <c r="G35" s="20" t="str">
        <f aca="false">B35&amp;" | место "&amp;E35</f>
        <v>UZ95-045-2026 | место 1</v>
      </c>
      <c r="H35" s="19" t="s">
        <v>177</v>
      </c>
      <c r="I35" s="19" t="s">
        <v>177</v>
      </c>
      <c r="J35" s="21" t="s">
        <v>178</v>
      </c>
      <c r="K35" s="21" t="s">
        <v>179</v>
      </c>
      <c r="L35" s="21" t="s">
        <v>179</v>
      </c>
      <c r="M35" s="19" t="s">
        <v>174</v>
      </c>
      <c r="N35" s="22" t="n">
        <v>2</v>
      </c>
      <c r="O35" s="22" t="n">
        <v>2</v>
      </c>
      <c r="P35" s="19" t="s">
        <v>66</v>
      </c>
      <c r="Q35" s="19" t="s">
        <v>67</v>
      </c>
      <c r="R35" s="23" t="n">
        <v>83.77</v>
      </c>
      <c r="S35" s="23" t="n">
        <v>167.54</v>
      </c>
      <c r="T35" s="24" t="n">
        <v>23</v>
      </c>
      <c r="U35" s="23" t="n">
        <v>46</v>
      </c>
      <c r="V35" s="23" t="n">
        <v>460</v>
      </c>
      <c r="W35" s="8" t="n">
        <f aca="false">SUMIFS($U$5:$U$44,$G$5:$G$44,G35)</f>
        <v>439.5</v>
      </c>
      <c r="X35" s="8" t="n">
        <f aca="false">ROUND(V35*U35/W35,2)</f>
        <v>48.15</v>
      </c>
      <c r="Y35" s="5" t="n">
        <f aca="false">IF(AND(U35=_xlfn.MAXIFS($U$5:$U$44,$G$5:$G$44,G35),COUNTIFS($G$5:G35,G35,$U$5:U35,U35)=1),1,0)</f>
        <v>0</v>
      </c>
      <c r="Z35" s="8" t="n">
        <f aca="false">ROUND(IF(Y35=1,V35-(SUMIFS($X$5:$X$44,$G$5:$G$44,G35)-X35),X35),2)</f>
        <v>48.15</v>
      </c>
      <c r="AA35" s="5" t="str">
        <f aca="false">IF(ABS(N35*R35-S35)&lt;0.005,"OK","ОШИБКА")</f>
        <v>OK</v>
      </c>
      <c r="AB35" s="5" t="str">
        <f aca="false">IF(ABS(O35*T35-U35)&lt;0.0005,"OK","ОШИБКА")</f>
        <v>OK</v>
      </c>
      <c r="AC35" s="5" t="str">
        <f aca="false">IF(H35=I35,"OK","ОШИБКА")</f>
        <v>OK</v>
      </c>
      <c r="AD35" s="5" t="str">
        <f aca="false">IF(K35=L35,"OK","ОШИБКА")</f>
        <v>OK</v>
      </c>
      <c r="AE35" s="5" t="str">
        <f aca="false">IF(N35=O35,"OK","ОШИБКА")</f>
        <v>OK</v>
      </c>
    </row>
    <row r="36" customFormat="false" ht="15" hidden="false" customHeight="false" outlineLevel="0" collapsed="false">
      <c r="A36" s="5" t="n">
        <v>32</v>
      </c>
      <c r="B36" s="18" t="s">
        <v>175</v>
      </c>
      <c r="C36" s="19" t="s">
        <v>176</v>
      </c>
      <c r="D36" s="19" t="n">
        <v>4</v>
      </c>
      <c r="E36" s="19" t="n">
        <v>1</v>
      </c>
      <c r="F36" s="19" t="s">
        <v>166</v>
      </c>
      <c r="G36" s="20" t="str">
        <f aca="false">B36&amp;" | место "&amp;E36</f>
        <v>UZ95-045-2026 | место 1</v>
      </c>
      <c r="H36" s="19" t="s">
        <v>180</v>
      </c>
      <c r="I36" s="19" t="s">
        <v>180</v>
      </c>
      <c r="J36" s="21" t="s">
        <v>181</v>
      </c>
      <c r="K36" s="21" t="s">
        <v>182</v>
      </c>
      <c r="L36" s="21" t="s">
        <v>182</v>
      </c>
      <c r="M36" s="19" t="s">
        <v>174</v>
      </c>
      <c r="N36" s="22" t="n">
        <v>2</v>
      </c>
      <c r="O36" s="22" t="n">
        <v>2</v>
      </c>
      <c r="P36" s="19" t="s">
        <v>66</v>
      </c>
      <c r="Q36" s="19" t="s">
        <v>67</v>
      </c>
      <c r="R36" s="23" t="n">
        <v>72</v>
      </c>
      <c r="S36" s="23" t="n">
        <v>144</v>
      </c>
      <c r="T36" s="24" t="n">
        <v>16</v>
      </c>
      <c r="U36" s="23" t="n">
        <v>32</v>
      </c>
      <c r="V36" s="23" t="n">
        <v>460</v>
      </c>
      <c r="W36" s="8" t="n">
        <f aca="false">SUMIFS($U$5:$U$44,$G$5:$G$44,G36)</f>
        <v>439.5</v>
      </c>
      <c r="X36" s="8" t="n">
        <f aca="false">ROUND(V36*U36/W36,2)</f>
        <v>33.49</v>
      </c>
      <c r="Y36" s="5" t="n">
        <f aca="false">IF(AND(U36=_xlfn.MAXIFS($U$5:$U$44,$G$5:$G$44,G36),COUNTIFS($G$5:G36,G36,$U$5:U36,U36)=1),1,0)</f>
        <v>0</v>
      </c>
      <c r="Z36" s="8" t="n">
        <f aca="false">ROUND(IF(Y36=1,V36-(SUMIFS($X$5:$X$44,$G$5:$G$44,G36)-X36),X36),2)</f>
        <v>33.49</v>
      </c>
      <c r="AA36" s="5" t="str">
        <f aca="false">IF(ABS(N36*R36-S36)&lt;0.005,"OK","ОШИБКА")</f>
        <v>OK</v>
      </c>
      <c r="AB36" s="5" t="str">
        <f aca="false">IF(ABS(O36*T36-U36)&lt;0.0005,"OK","ОШИБКА")</f>
        <v>OK</v>
      </c>
      <c r="AC36" s="5" t="str">
        <f aca="false">IF(H36=I36,"OK","ОШИБКА")</f>
        <v>OK</v>
      </c>
      <c r="AD36" s="5" t="str">
        <f aca="false">IF(K36=L36,"OK","ОШИБКА")</f>
        <v>OK</v>
      </c>
      <c r="AE36" s="5" t="str">
        <f aca="false">IF(N36=O36,"OK","ОШИБКА")</f>
        <v>OK</v>
      </c>
    </row>
    <row r="37" customFormat="false" ht="15" hidden="false" customHeight="false" outlineLevel="0" collapsed="false">
      <c r="A37" s="5" t="n">
        <v>33</v>
      </c>
      <c r="B37" s="18" t="s">
        <v>175</v>
      </c>
      <c r="C37" s="19" t="s">
        <v>176</v>
      </c>
      <c r="D37" s="19" t="n">
        <v>4</v>
      </c>
      <c r="E37" s="19" t="n">
        <v>1</v>
      </c>
      <c r="F37" s="19" t="s">
        <v>166</v>
      </c>
      <c r="G37" s="20" t="str">
        <f aca="false">B37&amp;" | место "&amp;E37</f>
        <v>UZ95-045-2026 | место 1</v>
      </c>
      <c r="H37" s="19" t="s">
        <v>183</v>
      </c>
      <c r="I37" s="19" t="s">
        <v>183</v>
      </c>
      <c r="J37" s="21" t="s">
        <v>184</v>
      </c>
      <c r="K37" s="21" t="s">
        <v>185</v>
      </c>
      <c r="L37" s="21" t="s">
        <v>185</v>
      </c>
      <c r="M37" s="19" t="s">
        <v>174</v>
      </c>
      <c r="N37" s="22" t="n">
        <v>1</v>
      </c>
      <c r="O37" s="22" t="n">
        <v>1</v>
      </c>
      <c r="P37" s="19" t="s">
        <v>66</v>
      </c>
      <c r="Q37" s="19" t="s">
        <v>67</v>
      </c>
      <c r="R37" s="23" t="n">
        <v>47</v>
      </c>
      <c r="S37" s="23" t="n">
        <v>47</v>
      </c>
      <c r="T37" s="24" t="n">
        <v>21</v>
      </c>
      <c r="U37" s="23" t="n">
        <v>21</v>
      </c>
      <c r="V37" s="23" t="n">
        <v>460</v>
      </c>
      <c r="W37" s="8" t="n">
        <f aca="false">SUMIFS($U$5:$U$44,$G$5:$G$44,G37)</f>
        <v>439.5</v>
      </c>
      <c r="X37" s="8" t="n">
        <f aca="false">ROUND(V37*U37/W37,2)</f>
        <v>21.98</v>
      </c>
      <c r="Y37" s="5" t="n">
        <f aca="false">IF(AND(U37=_xlfn.MAXIFS($U$5:$U$44,$G$5:$G$44,G37),COUNTIFS($G$5:G37,G37,$U$5:U37,U37)=1),1,0)</f>
        <v>0</v>
      </c>
      <c r="Z37" s="8" t="n">
        <f aca="false">ROUND(IF(Y37=1,V37-(SUMIFS($X$5:$X$44,$G$5:$G$44,G37)-X37),X37),2)</f>
        <v>21.98</v>
      </c>
      <c r="AA37" s="5" t="str">
        <f aca="false">IF(ABS(N37*R37-S37)&lt;0.005,"OK","ОШИБКА")</f>
        <v>OK</v>
      </c>
      <c r="AB37" s="5" t="str">
        <f aca="false">IF(ABS(O37*T37-U37)&lt;0.0005,"OK","ОШИБКА")</f>
        <v>OK</v>
      </c>
      <c r="AC37" s="5" t="str">
        <f aca="false">IF(H37=I37,"OK","ОШИБКА")</f>
        <v>OK</v>
      </c>
      <c r="AD37" s="5" t="str">
        <f aca="false">IF(K37=L37,"OK","ОШИБКА")</f>
        <v>OK</v>
      </c>
      <c r="AE37" s="5" t="str">
        <f aca="false">IF(N37=O37,"OK","ОШИБКА")</f>
        <v>OK</v>
      </c>
    </row>
    <row r="38" customFormat="false" ht="15" hidden="false" customHeight="false" outlineLevel="0" collapsed="false">
      <c r="A38" s="5" t="n">
        <v>34</v>
      </c>
      <c r="B38" s="18" t="s">
        <v>175</v>
      </c>
      <c r="C38" s="19" t="s">
        <v>176</v>
      </c>
      <c r="D38" s="19" t="n">
        <v>4</v>
      </c>
      <c r="E38" s="19" t="n">
        <v>1</v>
      </c>
      <c r="F38" s="19" t="s">
        <v>166</v>
      </c>
      <c r="G38" s="20" t="str">
        <f aca="false">B38&amp;" | место "&amp;E38</f>
        <v>UZ95-045-2026 | место 1</v>
      </c>
      <c r="H38" s="19" t="s">
        <v>186</v>
      </c>
      <c r="I38" s="19" t="s">
        <v>186</v>
      </c>
      <c r="J38" s="21" t="s">
        <v>187</v>
      </c>
      <c r="K38" s="21" t="s">
        <v>185</v>
      </c>
      <c r="L38" s="21" t="s">
        <v>185</v>
      </c>
      <c r="M38" s="19" t="s">
        <v>170</v>
      </c>
      <c r="N38" s="22" t="n">
        <v>1</v>
      </c>
      <c r="O38" s="22" t="n">
        <v>1</v>
      </c>
      <c r="P38" s="19" t="s">
        <v>66</v>
      </c>
      <c r="Q38" s="19" t="s">
        <v>67</v>
      </c>
      <c r="R38" s="23" t="n">
        <v>47</v>
      </c>
      <c r="S38" s="23" t="n">
        <v>47</v>
      </c>
      <c r="T38" s="24" t="n">
        <v>23</v>
      </c>
      <c r="U38" s="23" t="n">
        <v>23</v>
      </c>
      <c r="V38" s="23" t="n">
        <v>460</v>
      </c>
      <c r="W38" s="8" t="n">
        <f aca="false">SUMIFS($U$5:$U$44,$G$5:$G$44,G38)</f>
        <v>439.5</v>
      </c>
      <c r="X38" s="8" t="n">
        <f aca="false">ROUND(V38*U38/W38,2)</f>
        <v>24.07</v>
      </c>
      <c r="Y38" s="5" t="n">
        <f aca="false">IF(AND(U38=_xlfn.MAXIFS($U$5:$U$44,$G$5:$G$44,G38),COUNTIFS($G$5:G38,G38,$U$5:U38,U38)=1),1,0)</f>
        <v>0</v>
      </c>
      <c r="Z38" s="8" t="n">
        <f aca="false">ROUND(IF(Y38=1,V38-(SUMIFS($X$5:$X$44,$G$5:$G$44,G38)-X38),X38),2)</f>
        <v>24.07</v>
      </c>
      <c r="AA38" s="5" t="str">
        <f aca="false">IF(ABS(N38*R38-S38)&lt;0.005,"OK","ОШИБКА")</f>
        <v>OK</v>
      </c>
      <c r="AB38" s="5" t="str">
        <f aca="false">IF(ABS(O38*T38-U38)&lt;0.0005,"OK","ОШИБКА")</f>
        <v>OK</v>
      </c>
      <c r="AC38" s="5" t="str">
        <f aca="false">IF(H38=I38,"OK","ОШИБКА")</f>
        <v>OK</v>
      </c>
      <c r="AD38" s="5" t="str">
        <f aca="false">IF(K38=L38,"OK","ОШИБКА")</f>
        <v>OK</v>
      </c>
      <c r="AE38" s="5" t="str">
        <f aca="false">IF(N38=O38,"OK","ОШИБКА")</f>
        <v>OK</v>
      </c>
    </row>
    <row r="39" customFormat="false" ht="15" hidden="false" customHeight="false" outlineLevel="0" collapsed="false">
      <c r="A39" s="5" t="n">
        <v>35</v>
      </c>
      <c r="B39" s="18" t="s">
        <v>175</v>
      </c>
      <c r="C39" s="19" t="s">
        <v>176</v>
      </c>
      <c r="D39" s="19" t="n">
        <v>4</v>
      </c>
      <c r="E39" s="19" t="n">
        <v>1</v>
      </c>
      <c r="F39" s="19" t="s">
        <v>166</v>
      </c>
      <c r="G39" s="20" t="str">
        <f aca="false">B39&amp;" | место "&amp;E39</f>
        <v>UZ95-045-2026 | место 1</v>
      </c>
      <c r="H39" s="19" t="s">
        <v>188</v>
      </c>
      <c r="I39" s="19" t="s">
        <v>188</v>
      </c>
      <c r="J39" s="21" t="s">
        <v>189</v>
      </c>
      <c r="K39" s="21" t="s">
        <v>185</v>
      </c>
      <c r="L39" s="21" t="s">
        <v>185</v>
      </c>
      <c r="M39" s="19" t="s">
        <v>174</v>
      </c>
      <c r="N39" s="22" t="n">
        <v>2</v>
      </c>
      <c r="O39" s="22" t="n">
        <v>2</v>
      </c>
      <c r="P39" s="19" t="s">
        <v>66</v>
      </c>
      <c r="Q39" s="19" t="s">
        <v>67</v>
      </c>
      <c r="R39" s="23" t="n">
        <v>89</v>
      </c>
      <c r="S39" s="23" t="n">
        <v>178</v>
      </c>
      <c r="T39" s="24" t="n">
        <v>30</v>
      </c>
      <c r="U39" s="23" t="n">
        <v>60</v>
      </c>
      <c r="V39" s="23" t="n">
        <v>460</v>
      </c>
      <c r="W39" s="8" t="n">
        <f aca="false">SUMIFS($U$5:$U$44,$G$5:$G$44,G39)</f>
        <v>439.5</v>
      </c>
      <c r="X39" s="8" t="n">
        <f aca="false">ROUND(V39*U39/W39,2)</f>
        <v>62.8</v>
      </c>
      <c r="Y39" s="5" t="n">
        <f aca="false">IF(AND(U39=_xlfn.MAXIFS($U$5:$U$44,$G$5:$G$44,G39),COUNTIFS($G$5:G39,G39,$U$5:U39,U39)=1),1,0)</f>
        <v>0</v>
      </c>
      <c r="Z39" s="8" t="n">
        <f aca="false">ROUND(IF(Y39=1,V39-(SUMIFS($X$5:$X$44,$G$5:$G$44,G39)-X39),X39),2)</f>
        <v>62.8</v>
      </c>
      <c r="AA39" s="5" t="str">
        <f aca="false">IF(ABS(N39*R39-S39)&lt;0.005,"OK","ОШИБКА")</f>
        <v>OK</v>
      </c>
      <c r="AB39" s="5" t="str">
        <f aca="false">IF(ABS(O39*T39-U39)&lt;0.0005,"OK","ОШИБКА")</f>
        <v>OK</v>
      </c>
      <c r="AC39" s="5" t="str">
        <f aca="false">IF(H39=I39,"OK","ОШИБКА")</f>
        <v>OK</v>
      </c>
      <c r="AD39" s="5" t="str">
        <f aca="false">IF(K39=L39,"OK","ОШИБКА")</f>
        <v>OK</v>
      </c>
      <c r="AE39" s="5" t="str">
        <f aca="false">IF(N39=O39,"OK","ОШИБКА")</f>
        <v>OK</v>
      </c>
    </row>
    <row r="40" customFormat="false" ht="15" hidden="false" customHeight="false" outlineLevel="0" collapsed="false">
      <c r="A40" s="5" t="n">
        <v>36</v>
      </c>
      <c r="B40" s="18" t="s">
        <v>175</v>
      </c>
      <c r="C40" s="19" t="s">
        <v>176</v>
      </c>
      <c r="D40" s="19" t="n">
        <v>4</v>
      </c>
      <c r="E40" s="19" t="n">
        <v>1</v>
      </c>
      <c r="F40" s="19" t="s">
        <v>166</v>
      </c>
      <c r="G40" s="20" t="str">
        <f aca="false">B40&amp;" | место "&amp;E40</f>
        <v>UZ95-045-2026 | место 1</v>
      </c>
      <c r="H40" s="19" t="s">
        <v>190</v>
      </c>
      <c r="I40" s="19" t="s">
        <v>190</v>
      </c>
      <c r="J40" s="21" t="s">
        <v>189</v>
      </c>
      <c r="K40" s="21" t="s">
        <v>185</v>
      </c>
      <c r="L40" s="21" t="s">
        <v>185</v>
      </c>
      <c r="M40" s="19" t="s">
        <v>174</v>
      </c>
      <c r="N40" s="22" t="n">
        <v>2</v>
      </c>
      <c r="O40" s="22" t="n">
        <v>2</v>
      </c>
      <c r="P40" s="19" t="s">
        <v>66</v>
      </c>
      <c r="Q40" s="19" t="s">
        <v>67</v>
      </c>
      <c r="R40" s="23" t="n">
        <v>89</v>
      </c>
      <c r="S40" s="23" t="n">
        <v>178</v>
      </c>
      <c r="T40" s="24" t="n">
        <v>30</v>
      </c>
      <c r="U40" s="23" t="n">
        <v>60</v>
      </c>
      <c r="V40" s="23" t="n">
        <v>460</v>
      </c>
      <c r="W40" s="8" t="n">
        <f aca="false">SUMIFS($U$5:$U$44,$G$5:$G$44,G40)</f>
        <v>439.5</v>
      </c>
      <c r="X40" s="8" t="n">
        <f aca="false">ROUND(V40*U40/W40,2)</f>
        <v>62.8</v>
      </c>
      <c r="Y40" s="5" t="n">
        <f aca="false">IF(AND(U40=_xlfn.MAXIFS($U$5:$U$44,$G$5:$G$44,G40),COUNTIFS($G$5:G40,G40,$U$5:U40,U40)=1),1,0)</f>
        <v>0</v>
      </c>
      <c r="Z40" s="8" t="n">
        <f aca="false">ROUND(IF(Y40=1,V40-(SUMIFS($X$5:$X$44,$G$5:$G$44,G40)-X40),X40),2)</f>
        <v>62.8</v>
      </c>
      <c r="AA40" s="5" t="str">
        <f aca="false">IF(ABS(N40*R40-S40)&lt;0.005,"OK","ОШИБКА")</f>
        <v>OK</v>
      </c>
      <c r="AB40" s="5" t="str">
        <f aca="false">IF(ABS(O40*T40-U40)&lt;0.0005,"OK","ОШИБКА")</f>
        <v>OK</v>
      </c>
      <c r="AC40" s="5" t="str">
        <f aca="false">IF(H40=I40,"OK","ОШИБКА")</f>
        <v>OK</v>
      </c>
      <c r="AD40" s="5" t="str">
        <f aca="false">IF(K40=L40,"OK","ОШИБКА")</f>
        <v>OK</v>
      </c>
      <c r="AE40" s="5" t="str">
        <f aca="false">IF(N40=O40,"OK","ОШИБКА")</f>
        <v>OK</v>
      </c>
    </row>
    <row r="41" customFormat="false" ht="15" hidden="false" customHeight="false" outlineLevel="0" collapsed="false">
      <c r="A41" s="5" t="n">
        <v>37</v>
      </c>
      <c r="B41" s="18" t="s">
        <v>175</v>
      </c>
      <c r="C41" s="19" t="s">
        <v>176</v>
      </c>
      <c r="D41" s="19" t="n">
        <v>4</v>
      </c>
      <c r="E41" s="19" t="n">
        <v>1</v>
      </c>
      <c r="F41" s="19" t="s">
        <v>166</v>
      </c>
      <c r="G41" s="20" t="str">
        <f aca="false">B41&amp;" | место "&amp;E41</f>
        <v>UZ95-045-2026 | место 1</v>
      </c>
      <c r="H41" s="19" t="s">
        <v>191</v>
      </c>
      <c r="I41" s="19" t="s">
        <v>191</v>
      </c>
      <c r="J41" s="21" t="s">
        <v>192</v>
      </c>
      <c r="K41" s="21" t="s">
        <v>193</v>
      </c>
      <c r="L41" s="21" t="s">
        <v>193</v>
      </c>
      <c r="M41" s="19" t="s">
        <v>174</v>
      </c>
      <c r="N41" s="22" t="n">
        <v>10</v>
      </c>
      <c r="O41" s="22" t="n">
        <v>10</v>
      </c>
      <c r="P41" s="19" t="s">
        <v>66</v>
      </c>
      <c r="Q41" s="19" t="s">
        <v>67</v>
      </c>
      <c r="R41" s="23" t="n">
        <v>35</v>
      </c>
      <c r="S41" s="23" t="n">
        <v>350</v>
      </c>
      <c r="T41" s="24" t="n">
        <v>12</v>
      </c>
      <c r="U41" s="23" t="n">
        <v>120</v>
      </c>
      <c r="V41" s="23" t="n">
        <v>460</v>
      </c>
      <c r="W41" s="8" t="n">
        <f aca="false">SUMIFS($U$5:$U$44,$G$5:$G$44,G41)</f>
        <v>439.5</v>
      </c>
      <c r="X41" s="8" t="n">
        <f aca="false">ROUND(V41*U41/W41,2)</f>
        <v>125.6</v>
      </c>
      <c r="Y41" s="5" t="n">
        <f aca="false">IF(AND(U41=_xlfn.MAXIFS($U$5:$U$44,$G$5:$G$44,G41),COUNTIFS($G$5:G41,G41,$U$5:U41,U41)=1),1,0)</f>
        <v>1</v>
      </c>
      <c r="Z41" s="8" t="n">
        <f aca="false">ROUND(IF(Y41=1,V41-(SUMIFS($X$5:$X$44,$G$5:$G$44,G41)-X41),X41),2)</f>
        <v>125.59</v>
      </c>
      <c r="AA41" s="5" t="str">
        <f aca="false">IF(ABS(N41*R41-S41)&lt;0.005,"OK","ОШИБКА")</f>
        <v>OK</v>
      </c>
      <c r="AB41" s="5" t="str">
        <f aca="false">IF(ABS(O41*T41-U41)&lt;0.0005,"OK","ОШИБКА")</f>
        <v>OK</v>
      </c>
      <c r="AC41" s="5" t="str">
        <f aca="false">IF(H41=I41,"OK","ОШИБКА")</f>
        <v>OK</v>
      </c>
      <c r="AD41" s="5" t="str">
        <f aca="false">IF(K41=L41,"OK","ОШИБКА")</f>
        <v>OK</v>
      </c>
      <c r="AE41" s="5" t="str">
        <f aca="false">IF(N41=O41,"OK","ОШИБКА")</f>
        <v>OK</v>
      </c>
    </row>
    <row r="42" customFormat="false" ht="15" hidden="false" customHeight="false" outlineLevel="0" collapsed="false">
      <c r="A42" s="5" t="n">
        <v>38</v>
      </c>
      <c r="B42" s="18" t="s">
        <v>175</v>
      </c>
      <c r="C42" s="19" t="s">
        <v>176</v>
      </c>
      <c r="D42" s="19" t="n">
        <v>4</v>
      </c>
      <c r="E42" s="19" t="n">
        <v>1</v>
      </c>
      <c r="F42" s="19" t="s">
        <v>166</v>
      </c>
      <c r="G42" s="20" t="str">
        <f aca="false">B42&amp;" | место "&amp;E42</f>
        <v>UZ95-045-2026 | место 1</v>
      </c>
      <c r="H42" s="19" t="s">
        <v>194</v>
      </c>
      <c r="I42" s="19" t="s">
        <v>194</v>
      </c>
      <c r="J42" s="21" t="s">
        <v>195</v>
      </c>
      <c r="K42" s="21" t="s">
        <v>196</v>
      </c>
      <c r="L42" s="21" t="s">
        <v>196</v>
      </c>
      <c r="M42" s="19" t="s">
        <v>170</v>
      </c>
      <c r="N42" s="22" t="n">
        <v>1</v>
      </c>
      <c r="O42" s="22" t="n">
        <v>1</v>
      </c>
      <c r="P42" s="19" t="s">
        <v>66</v>
      </c>
      <c r="Q42" s="19" t="s">
        <v>67</v>
      </c>
      <c r="R42" s="23" t="n">
        <v>35</v>
      </c>
      <c r="S42" s="23" t="n">
        <v>35</v>
      </c>
      <c r="T42" s="24" t="n">
        <v>20</v>
      </c>
      <c r="U42" s="23" t="n">
        <v>20</v>
      </c>
      <c r="V42" s="23" t="n">
        <v>460</v>
      </c>
      <c r="W42" s="8" t="n">
        <f aca="false">SUMIFS($U$5:$U$44,$G$5:$G$44,G42)</f>
        <v>439.5</v>
      </c>
      <c r="X42" s="8" t="n">
        <f aca="false">ROUND(V42*U42/W42,2)</f>
        <v>20.93</v>
      </c>
      <c r="Y42" s="5" t="n">
        <f aca="false">IF(AND(U42=_xlfn.MAXIFS($U$5:$U$44,$G$5:$G$44,G42),COUNTIFS($G$5:G42,G42,$U$5:U42,U42)=1),1,0)</f>
        <v>0</v>
      </c>
      <c r="Z42" s="8" t="n">
        <f aca="false">ROUND(IF(Y42=1,V42-(SUMIFS($X$5:$X$44,$G$5:$G$44,G42)-X42),X42),2)</f>
        <v>20.93</v>
      </c>
      <c r="AA42" s="5" t="str">
        <f aca="false">IF(ABS(N42*R42-S42)&lt;0.005,"OK","ОШИБКА")</f>
        <v>OK</v>
      </c>
      <c r="AB42" s="5" t="str">
        <f aca="false">IF(ABS(O42*T42-U42)&lt;0.0005,"OK","ОШИБКА")</f>
        <v>OK</v>
      </c>
      <c r="AC42" s="5" t="str">
        <f aca="false">IF(H42=I42,"OK","ОШИБКА")</f>
        <v>OK</v>
      </c>
      <c r="AD42" s="5" t="str">
        <f aca="false">IF(K42=L42,"OK","ОШИБКА")</f>
        <v>OK</v>
      </c>
      <c r="AE42" s="5" t="str">
        <f aca="false">IF(N42=O42,"OK","ОШИБКА")</f>
        <v>OK</v>
      </c>
    </row>
    <row r="43" customFormat="false" ht="15" hidden="false" customHeight="false" outlineLevel="0" collapsed="false">
      <c r="A43" s="5" t="n">
        <v>39</v>
      </c>
      <c r="B43" s="18" t="s">
        <v>175</v>
      </c>
      <c r="C43" s="19" t="s">
        <v>176</v>
      </c>
      <c r="D43" s="19" t="n">
        <v>4</v>
      </c>
      <c r="E43" s="19" t="n">
        <v>1</v>
      </c>
      <c r="F43" s="19" t="s">
        <v>166</v>
      </c>
      <c r="G43" s="20" t="str">
        <f aca="false">B43&amp;" | место "&amp;E43</f>
        <v>UZ95-045-2026 | место 1</v>
      </c>
      <c r="H43" s="19" t="s">
        <v>197</v>
      </c>
      <c r="I43" s="19" t="s">
        <v>197</v>
      </c>
      <c r="J43" s="21" t="s">
        <v>198</v>
      </c>
      <c r="K43" s="21" t="s">
        <v>199</v>
      </c>
      <c r="L43" s="21" t="s">
        <v>199</v>
      </c>
      <c r="M43" s="19" t="s">
        <v>200</v>
      </c>
      <c r="N43" s="22" t="n">
        <v>16</v>
      </c>
      <c r="O43" s="22" t="n">
        <v>16</v>
      </c>
      <c r="P43" s="19" t="s">
        <v>66</v>
      </c>
      <c r="Q43" s="19" t="s">
        <v>67</v>
      </c>
      <c r="R43" s="23" t="n">
        <v>138</v>
      </c>
      <c r="S43" s="23" t="n">
        <v>2208</v>
      </c>
      <c r="T43" s="24" t="n">
        <v>2.5</v>
      </c>
      <c r="U43" s="23" t="n">
        <v>40</v>
      </c>
      <c r="V43" s="23" t="n">
        <v>460</v>
      </c>
      <c r="W43" s="8" t="n">
        <f aca="false">SUMIFS($U$5:$U$44,$G$5:$G$44,G43)</f>
        <v>439.5</v>
      </c>
      <c r="X43" s="8" t="n">
        <f aca="false">ROUND(V43*U43/W43,2)</f>
        <v>41.87</v>
      </c>
      <c r="Y43" s="5" t="n">
        <f aca="false">IF(AND(U43=_xlfn.MAXIFS($U$5:$U$44,$G$5:$G$44,G43),COUNTIFS($G$5:G43,G43,$U$5:U43,U43)=1),1,0)</f>
        <v>0</v>
      </c>
      <c r="Z43" s="8" t="n">
        <f aca="false">ROUND(IF(Y43=1,V43-(SUMIFS($X$5:$X$44,$G$5:$G$44,G43)-X43),X43),2)</f>
        <v>41.87</v>
      </c>
      <c r="AA43" s="5" t="str">
        <f aca="false">IF(ABS(N43*R43-S43)&lt;0.005,"OK","ОШИБКА")</f>
        <v>OK</v>
      </c>
      <c r="AB43" s="5" t="str">
        <f aca="false">IF(ABS(O43*T43-U43)&lt;0.0005,"OK","ОШИБКА")</f>
        <v>OK</v>
      </c>
      <c r="AC43" s="5" t="str">
        <f aca="false">IF(H43=I43,"OK","ОШИБКА")</f>
        <v>OK</v>
      </c>
      <c r="AD43" s="5" t="str">
        <f aca="false">IF(K43=L43,"OK","ОШИБКА")</f>
        <v>OK</v>
      </c>
      <c r="AE43" s="5" t="str">
        <f aca="false">IF(N43=O43,"OK","ОШИБКА")</f>
        <v>OK</v>
      </c>
    </row>
    <row r="44" customFormat="false" ht="15" hidden="false" customHeight="false" outlineLevel="0" collapsed="false">
      <c r="A44" s="5" t="n">
        <v>40</v>
      </c>
      <c r="B44" s="18" t="s">
        <v>175</v>
      </c>
      <c r="C44" s="19" t="s">
        <v>176</v>
      </c>
      <c r="D44" s="19" t="n">
        <v>4</v>
      </c>
      <c r="E44" s="19" t="n">
        <v>1</v>
      </c>
      <c r="F44" s="19" t="s">
        <v>166</v>
      </c>
      <c r="G44" s="20" t="str">
        <f aca="false">B44&amp;" | место "&amp;E44</f>
        <v>UZ95-045-2026 | место 1</v>
      </c>
      <c r="H44" s="19" t="s">
        <v>201</v>
      </c>
      <c r="I44" s="19" t="s">
        <v>201</v>
      </c>
      <c r="J44" s="21" t="s">
        <v>198</v>
      </c>
      <c r="K44" s="21" t="s">
        <v>199</v>
      </c>
      <c r="L44" s="21" t="s">
        <v>199</v>
      </c>
      <c r="M44" s="19" t="s">
        <v>200</v>
      </c>
      <c r="N44" s="22" t="n">
        <v>7</v>
      </c>
      <c r="O44" s="22" t="n">
        <v>7</v>
      </c>
      <c r="P44" s="19" t="s">
        <v>66</v>
      </c>
      <c r="Q44" s="19" t="s">
        <v>67</v>
      </c>
      <c r="R44" s="23" t="n">
        <v>138</v>
      </c>
      <c r="S44" s="23" t="n">
        <v>966</v>
      </c>
      <c r="T44" s="24" t="n">
        <v>2.5</v>
      </c>
      <c r="U44" s="23" t="n">
        <v>17.5</v>
      </c>
      <c r="V44" s="23" t="n">
        <v>460</v>
      </c>
      <c r="W44" s="8" t="n">
        <f aca="false">SUMIFS($U$5:$U$44,$G$5:$G$44,G44)</f>
        <v>439.5</v>
      </c>
      <c r="X44" s="8" t="n">
        <f aca="false">ROUND(V44*U44/W44,2)</f>
        <v>18.32</v>
      </c>
      <c r="Y44" s="5" t="n">
        <f aca="false">IF(AND(U44=_xlfn.MAXIFS($U$5:$U$44,$G$5:$G$44,G44),COUNTIFS($G$5:G44,G44,$U$5:U44,U44)=1),1,0)</f>
        <v>0</v>
      </c>
      <c r="Z44" s="8" t="n">
        <f aca="false">ROUND(IF(Y44=1,V44-(SUMIFS($X$5:$X$44,$G$5:$G$44,G44)-X44),X44),2)</f>
        <v>18.32</v>
      </c>
      <c r="AA44" s="5" t="str">
        <f aca="false">IF(ABS(N44*R44-S44)&lt;0.005,"OK","ОШИБКА")</f>
        <v>OK</v>
      </c>
      <c r="AB44" s="5" t="str">
        <f aca="false">IF(ABS(O44*T44-U44)&lt;0.0005,"OK","ОШИБКА")</f>
        <v>OK</v>
      </c>
      <c r="AC44" s="5" t="str">
        <f aca="false">IF(H44=I44,"OK","ОШИБКА")</f>
        <v>OK</v>
      </c>
      <c r="AD44" s="5" t="str">
        <f aca="false">IF(K44=L44,"OK","ОШИБКА")</f>
        <v>OK</v>
      </c>
      <c r="AE44" s="5" t="str">
        <f aca="false">IF(N44=O44,"OK","ОШИБКА")</f>
        <v>OK</v>
      </c>
    </row>
  </sheetData>
  <autoFilter ref="A4:AE44"/>
  <mergeCells count="1"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9"/>
    <col collapsed="false" customWidth="true" hidden="false" outlineLevel="0" max="5" min="3" style="0" width="10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14" min="9" style="0" width="11"/>
    <col collapsed="false" customWidth="true" hidden="false" outlineLevel="0" max="15" min="15" style="0" width="10"/>
    <col collapsed="false" customWidth="true" hidden="false" outlineLevel="0" max="16" min="16" style="0" width="15"/>
  </cols>
  <sheetData>
    <row r="1" customFormat="false" ht="15" hidden="false" customHeight="false" outlineLevel="0" collapsed="false">
      <c r="A1" s="1" t="s">
        <v>202</v>
      </c>
    </row>
    <row r="2" customFormat="false" ht="15" hidden="false" customHeight="false" outlineLevel="0" collapsed="false">
      <c r="A2" s="25" t="s">
        <v>203</v>
      </c>
    </row>
    <row r="4" customFormat="false" ht="48" hidden="false" customHeight="true" outlineLevel="0" collapsed="false">
      <c r="A4" s="4" t="s">
        <v>4</v>
      </c>
      <c r="B4" s="4" t="s">
        <v>204</v>
      </c>
      <c r="C4" s="4" t="s">
        <v>205</v>
      </c>
      <c r="D4" s="4" t="s">
        <v>206</v>
      </c>
      <c r="E4" s="4" t="s">
        <v>207</v>
      </c>
      <c r="F4" s="4" t="s">
        <v>208</v>
      </c>
      <c r="G4" s="4" t="s">
        <v>209</v>
      </c>
      <c r="H4" s="4" t="s">
        <v>210</v>
      </c>
      <c r="I4" s="4" t="s">
        <v>211</v>
      </c>
      <c r="J4" s="4" t="s">
        <v>212</v>
      </c>
      <c r="K4" s="4" t="s">
        <v>213</v>
      </c>
      <c r="L4" s="4" t="s">
        <v>214</v>
      </c>
      <c r="M4" s="4" t="s">
        <v>215</v>
      </c>
      <c r="N4" s="4" t="s">
        <v>216</v>
      </c>
      <c r="O4" s="4" t="s">
        <v>217</v>
      </c>
      <c r="P4" s="4" t="s">
        <v>218</v>
      </c>
    </row>
    <row r="5" customFormat="false" ht="15" hidden="false" customHeight="false" outlineLevel="0" collapsed="false">
      <c r="A5" s="5" t="s">
        <v>59</v>
      </c>
      <c r="B5" s="26" t="n">
        <f aca="false">COUNTIF(Товары!$B$5:$B$44,A5)</f>
        <v>2</v>
      </c>
      <c r="C5" s="22" t="n">
        <v>2</v>
      </c>
      <c r="D5" s="7" t="n">
        <f aca="false">SUMIFS(Товары!$F$5:$F$44,Товары!$B$5:$B$44,A5)</f>
        <v>2</v>
      </c>
      <c r="E5" s="22" t="n">
        <v>2</v>
      </c>
      <c r="F5" s="23" t="n">
        <v>3360</v>
      </c>
      <c r="G5" s="8" t="n">
        <f aca="false">SUMIFS(Товары!$H$5:$H$44,Товары!$B$5:$B$44,A5)</f>
        <v>3360</v>
      </c>
      <c r="H5" s="8" t="n">
        <f aca="false">ROUND(G5-F5,2)</f>
        <v>0</v>
      </c>
      <c r="I5" s="23" t="n">
        <v>9000</v>
      </c>
      <c r="J5" s="8" t="n">
        <f aca="false">SUMIFS(Товары!$J$5:$J$44,Товары!$B$5:$B$44,A5)</f>
        <v>9000</v>
      </c>
      <c r="K5" s="8" t="n">
        <f aca="false">ROUND(J5-I5,2)</f>
        <v>0</v>
      </c>
      <c r="L5" s="23" t="n">
        <v>9600</v>
      </c>
      <c r="M5" s="8" t="n">
        <f aca="false">SUMIFS(Товары!$I$5:$I$44,Товары!$B$5:$B$44,A5)</f>
        <v>9600</v>
      </c>
      <c r="N5" s="8" t="n">
        <f aca="false">ROUND(M5-L5,2)</f>
        <v>0</v>
      </c>
      <c r="O5" s="5" t="str">
        <f aca="false">IF(L5&gt;I5,"OK","ОШИБКА")</f>
        <v>OK</v>
      </c>
      <c r="P5" s="5" t="str">
        <f aca="false">IF(AND(C5=D5,D5=E5,H5=0,K5=0,N5=0,O5="OK"),"OK","РАСХОЖДЕНИЕ")</f>
        <v>OK</v>
      </c>
    </row>
    <row r="6" customFormat="false" ht="15" hidden="false" customHeight="false" outlineLevel="0" collapsed="false">
      <c r="A6" s="5" t="s">
        <v>68</v>
      </c>
      <c r="B6" s="26" t="n">
        <f aca="false">COUNTIF(Товары!$B$5:$B$44,A6)</f>
        <v>3</v>
      </c>
      <c r="C6" s="22" t="n">
        <v>9</v>
      </c>
      <c r="D6" s="7" t="n">
        <f aca="false">SUMIFS(Товары!$F$5:$F$44,Товары!$B$5:$B$44,A6)</f>
        <v>9</v>
      </c>
      <c r="E6" s="22" t="n">
        <v>9</v>
      </c>
      <c r="F6" s="23" t="n">
        <v>6840</v>
      </c>
      <c r="G6" s="8" t="n">
        <f aca="false">SUMIFS(Товары!$H$5:$H$44,Товары!$B$5:$B$44,A6)</f>
        <v>6840</v>
      </c>
      <c r="H6" s="8" t="n">
        <f aca="false">ROUND(G6-F6,2)</f>
        <v>0</v>
      </c>
      <c r="I6" s="23" t="n">
        <v>6165</v>
      </c>
      <c r="J6" s="8" t="n">
        <f aca="false">SUMIFS(Товары!$J$5:$J$44,Товары!$B$5:$B$44,A6)</f>
        <v>6165</v>
      </c>
      <c r="K6" s="8" t="n">
        <f aca="false">ROUND(J6-I6,2)</f>
        <v>0</v>
      </c>
      <c r="L6" s="23" t="n">
        <v>6915</v>
      </c>
      <c r="M6" s="8" t="n">
        <f aca="false">SUMIFS(Товары!$I$5:$I$44,Товары!$B$5:$B$44,A6)</f>
        <v>6915</v>
      </c>
      <c r="N6" s="8" t="n">
        <f aca="false">ROUND(M6-L6,2)</f>
        <v>0</v>
      </c>
      <c r="O6" s="5" t="str">
        <f aca="false">IF(L6&gt;I6,"OK","ОШИБКА")</f>
        <v>OK</v>
      </c>
      <c r="P6" s="5" t="str">
        <f aca="false">IF(AND(C6=D6,D6=E6,H6=0,K6=0,N6=0,O6="OK"),"OK","РАСХОЖДЕНИЕ")</f>
        <v>OK</v>
      </c>
    </row>
    <row r="7" customFormat="false" ht="15" hidden="false" customHeight="false" outlineLevel="0" collapsed="false">
      <c r="A7" s="5" t="s">
        <v>74</v>
      </c>
      <c r="B7" s="26" t="n">
        <f aca="false">COUNTIF(Товары!$B$5:$B$44,A7)</f>
        <v>6</v>
      </c>
      <c r="C7" s="22" t="n">
        <v>20</v>
      </c>
      <c r="D7" s="7" t="n">
        <f aca="false">SUMIFS(Товары!$F$5:$F$44,Товары!$B$5:$B$44,A7)</f>
        <v>20</v>
      </c>
      <c r="E7" s="22" t="n">
        <v>20</v>
      </c>
      <c r="F7" s="23" t="n">
        <v>4904</v>
      </c>
      <c r="G7" s="8" t="n">
        <f aca="false">SUMIFS(Товары!$H$5:$H$44,Товары!$B$5:$B$44,A7)</f>
        <v>4904</v>
      </c>
      <c r="H7" s="8" t="n">
        <f aca="false">ROUND(G7-F7,2)</f>
        <v>0</v>
      </c>
      <c r="I7" s="23" t="n">
        <v>43.25</v>
      </c>
      <c r="J7" s="8" t="n">
        <f aca="false">SUMIFS(Товары!$J$5:$J$44,Товары!$B$5:$B$44,A7)</f>
        <v>43.25</v>
      </c>
      <c r="K7" s="8" t="n">
        <f aca="false">ROUND(J7-I7,2)</f>
        <v>0</v>
      </c>
      <c r="L7" s="23" t="n">
        <v>75</v>
      </c>
      <c r="M7" s="8" t="n">
        <f aca="false">SUMIFS(Товары!$I$5:$I$44,Товары!$B$5:$B$44,A7)</f>
        <v>75</v>
      </c>
      <c r="N7" s="8" t="n">
        <f aca="false">ROUND(M7-L7,2)</f>
        <v>0</v>
      </c>
      <c r="O7" s="5" t="str">
        <f aca="false">IF(L7&gt;I7,"OK","ОШИБКА")</f>
        <v>OK</v>
      </c>
      <c r="P7" s="5" t="str">
        <f aca="false">IF(AND(C7=D7,D7=E7,H7=0,K7=0,N7=0,O7="OK"),"OK","РАСХОЖДЕНИЕ")</f>
        <v>OK</v>
      </c>
    </row>
    <row r="8" customFormat="false" ht="15" hidden="false" customHeight="false" outlineLevel="0" collapsed="false">
      <c r="A8" s="5" t="s">
        <v>98</v>
      </c>
      <c r="B8" s="26" t="n">
        <f aca="false">COUNTIF(Товары!$B$5:$B$44,A8)</f>
        <v>3</v>
      </c>
      <c r="C8" s="22" t="n">
        <v>3</v>
      </c>
      <c r="D8" s="7" t="n">
        <f aca="false">SUMIFS(Товары!$F$5:$F$44,Товары!$B$5:$B$44,A8)</f>
        <v>3</v>
      </c>
      <c r="E8" s="22" t="n">
        <v>3</v>
      </c>
      <c r="F8" s="23" t="n">
        <v>1990</v>
      </c>
      <c r="G8" s="8" t="n">
        <f aca="false">SUMIFS(Товары!$H$5:$H$44,Товары!$B$5:$B$44,A8)</f>
        <v>1990</v>
      </c>
      <c r="H8" s="8" t="n">
        <f aca="false">ROUND(G8-F8,2)</f>
        <v>0</v>
      </c>
      <c r="I8" s="23" t="n">
        <v>7.5</v>
      </c>
      <c r="J8" s="8" t="n">
        <f aca="false">SUMIFS(Товары!$J$5:$J$44,Товары!$B$5:$B$44,A8)</f>
        <v>7.5</v>
      </c>
      <c r="K8" s="8" t="n">
        <f aca="false">ROUND(J8-I8,2)</f>
        <v>0</v>
      </c>
      <c r="L8" s="23" t="n">
        <v>10</v>
      </c>
      <c r="M8" s="8" t="n">
        <f aca="false">SUMIFS(Товары!$I$5:$I$44,Товары!$B$5:$B$44,A8)</f>
        <v>10</v>
      </c>
      <c r="N8" s="8" t="n">
        <f aca="false">ROUND(M8-L8,2)</f>
        <v>0</v>
      </c>
      <c r="O8" s="5" t="str">
        <f aca="false">IF(L8&gt;I8,"OK","ОШИБКА")</f>
        <v>OK</v>
      </c>
      <c r="P8" s="5" t="str">
        <f aca="false">IF(AND(C8=D8,D8=E8,H8=0,K8=0,N8=0,O8="OK"),"OK","РАСХОЖДЕНИЕ")</f>
        <v>OK</v>
      </c>
    </row>
    <row r="9" customFormat="false" ht="15" hidden="false" customHeight="false" outlineLevel="0" collapsed="false">
      <c r="A9" s="5" t="s">
        <v>112</v>
      </c>
      <c r="B9" s="26" t="n">
        <f aca="false">COUNTIF(Товары!$B$5:$B$44,A9)</f>
        <v>14</v>
      </c>
      <c r="C9" s="22" t="n">
        <v>22</v>
      </c>
      <c r="D9" s="7" t="n">
        <f aca="false">SUMIFS(Товары!$F$5:$F$44,Товары!$B$5:$B$44,A9)</f>
        <v>22</v>
      </c>
      <c r="E9" s="22" t="n">
        <v>22</v>
      </c>
      <c r="F9" s="23" t="n">
        <v>13567.15</v>
      </c>
      <c r="G9" s="8" t="n">
        <f aca="false">SUMIFS(Товары!$H$5:$H$44,Товары!$B$5:$B$44,A9)</f>
        <v>13715.71</v>
      </c>
      <c r="H9" s="8" t="n">
        <f aca="false">ROUND(G9-F9,2)</f>
        <v>148.56</v>
      </c>
      <c r="I9" s="23" t="n">
        <v>191.7</v>
      </c>
      <c r="J9" s="8" t="n">
        <f aca="false">SUMIFS(Товары!$J$5:$J$44,Товары!$B$5:$B$44,A9)</f>
        <v>191.7</v>
      </c>
      <c r="K9" s="8" t="n">
        <f aca="false">ROUND(J9-I9,2)</f>
        <v>0</v>
      </c>
      <c r="L9" s="23" t="n">
        <v>235</v>
      </c>
      <c r="M9" s="8" t="n">
        <f aca="false">SUMIFS(Товары!$I$5:$I$44,Товары!$B$5:$B$44,A9)</f>
        <v>235</v>
      </c>
      <c r="N9" s="8" t="n">
        <f aca="false">ROUND(M9-L9,2)</f>
        <v>0</v>
      </c>
      <c r="O9" s="5" t="str">
        <f aca="false">IF(L9&gt;I9,"OK","ОШИБКА")</f>
        <v>OK</v>
      </c>
      <c r="P9" s="5" t="str">
        <f aca="false">IF(AND(C9=D9,D9=E9,H9=0,K9=0,N9=0,O9="OK"),"OK","РАСХОЖДЕНИЕ")</f>
        <v>РАСХОЖДЕНИЕ</v>
      </c>
    </row>
    <row r="10" customFormat="false" ht="15" hidden="false" customHeight="false" outlineLevel="0" collapsed="false">
      <c r="A10" s="5" t="s">
        <v>164</v>
      </c>
      <c r="B10" s="26" t="n">
        <f aca="false">COUNTIF(Товары!$B$5:$B$44,A10)</f>
        <v>2</v>
      </c>
      <c r="C10" s="22" t="n">
        <v>29</v>
      </c>
      <c r="D10" s="7" t="n">
        <f aca="false">SUMIFS(Товары!$F$5:$F$44,Товары!$B$5:$B$44,A10)</f>
        <v>29</v>
      </c>
      <c r="E10" s="22" t="n">
        <v>29</v>
      </c>
      <c r="F10" s="23" t="n">
        <v>1150</v>
      </c>
      <c r="G10" s="8" t="n">
        <f aca="false">SUMIFS(Товары!$H$5:$H$44,Товары!$B$5:$B$44,A10)</f>
        <v>1150</v>
      </c>
      <c r="H10" s="8" t="n">
        <f aca="false">ROUND(G10-F10,2)</f>
        <v>0</v>
      </c>
      <c r="I10" s="23" t="n">
        <v>348</v>
      </c>
      <c r="J10" s="8" t="n">
        <f aca="false">SUMIFS(Товары!$J$5:$J$44,Товары!$B$5:$B$44,A10)</f>
        <v>348</v>
      </c>
      <c r="K10" s="8" t="n">
        <f aca="false">ROUND(J10-I10,2)</f>
        <v>0</v>
      </c>
      <c r="L10" s="23" t="n">
        <v>370</v>
      </c>
      <c r="M10" s="8" t="n">
        <f aca="false">SUMIFS(Товары!$I$5:$I$44,Товары!$B$5:$B$44,A10)</f>
        <v>370</v>
      </c>
      <c r="N10" s="8" t="n">
        <f aca="false">ROUND(M10-L10,2)</f>
        <v>0</v>
      </c>
      <c r="O10" s="5" t="str">
        <f aca="false">IF(L10&gt;I10,"OK","ОШИБКА")</f>
        <v>OK</v>
      </c>
      <c r="P10" s="5" t="str">
        <f aca="false">IF(AND(C10=D10,D10=E10,H10=0,K10=0,N10=0,O10="OK"),"OK","РАСХОЖДЕНИЕ")</f>
        <v>OK</v>
      </c>
    </row>
    <row r="11" customFormat="false" ht="15" hidden="false" customHeight="false" outlineLevel="0" collapsed="false">
      <c r="A11" s="5" t="s">
        <v>175</v>
      </c>
      <c r="B11" s="26" t="n">
        <f aca="false">COUNTIF(Товары!$B$5:$B$44,A11)</f>
        <v>10</v>
      </c>
      <c r="C11" s="22" t="n">
        <v>44</v>
      </c>
      <c r="D11" s="7" t="n">
        <f aca="false">SUMIFS(Товары!$F$5:$F$44,Товары!$B$5:$B$44,A11)</f>
        <v>44</v>
      </c>
      <c r="E11" s="22" t="n">
        <v>44</v>
      </c>
      <c r="F11" s="23" t="n">
        <v>4320.54</v>
      </c>
      <c r="G11" s="8" t="n">
        <f aca="false">SUMIFS(Товары!$H$5:$H$44,Товары!$B$5:$B$44,A11)</f>
        <v>4320.54</v>
      </c>
      <c r="H11" s="8" t="n">
        <f aca="false">ROUND(G11-F11,2)</f>
        <v>0</v>
      </c>
      <c r="I11" s="23" t="n">
        <v>439.5</v>
      </c>
      <c r="J11" s="8" t="n">
        <f aca="false">SUMIFS(Товары!$J$5:$J$44,Товары!$B$5:$B$44,A11)</f>
        <v>439.5</v>
      </c>
      <c r="K11" s="8" t="n">
        <f aca="false">ROUND(J11-I11,2)</f>
        <v>0</v>
      </c>
      <c r="L11" s="23" t="n">
        <v>460</v>
      </c>
      <c r="M11" s="8" t="n">
        <f aca="false">SUMIFS(Товары!$I$5:$I$44,Товары!$B$5:$B$44,A11)</f>
        <v>460</v>
      </c>
      <c r="N11" s="8" t="n">
        <f aca="false">ROUND(M11-L11,2)</f>
        <v>0</v>
      </c>
      <c r="O11" s="5" t="str">
        <f aca="false">IF(L11&gt;I11,"OK","ОШИБКА")</f>
        <v>OK</v>
      </c>
      <c r="P11" s="5" t="str">
        <f aca="false">IF(AND(C11=D11,D11=E11,H11=0,K11=0,N11=0,O11="OK"),"OK","РАСХОЖДЕНИЕ")</f>
        <v>OK</v>
      </c>
    </row>
    <row r="12" customFormat="false" ht="15" hidden="false" customHeight="false" outlineLevel="0" collapsed="false">
      <c r="A12" s="27" t="s">
        <v>219</v>
      </c>
      <c r="B12" s="28" t="n">
        <f aca="false">SUM(B5:B11)</f>
        <v>40</v>
      </c>
      <c r="C12" s="29" t="n">
        <f aca="false">SUM(C5:C11)</f>
        <v>129</v>
      </c>
      <c r="D12" s="29" t="n">
        <f aca="false">SUM(D5:D11)</f>
        <v>129</v>
      </c>
      <c r="E12" s="29" t="n">
        <f aca="false">SUM(E5:E11)</f>
        <v>129</v>
      </c>
      <c r="F12" s="30" t="n">
        <f aca="false">SUM(F5:F11)</f>
        <v>36131.69</v>
      </c>
      <c r="G12" s="30" t="n">
        <f aca="false">SUM(G5:G11)</f>
        <v>36280.25</v>
      </c>
      <c r="H12" s="30" t="n">
        <f aca="false">ROUND(G12-F12,2)</f>
        <v>148.56</v>
      </c>
      <c r="I12" s="30" t="n">
        <f aca="false">SUM(I5:I11)</f>
        <v>16194.95</v>
      </c>
      <c r="J12" s="30" t="n">
        <f aca="false">SUM(J5:J11)</f>
        <v>16194.95</v>
      </c>
      <c r="K12" s="30" t="n">
        <f aca="false">ROUND(J12-I12,2)</f>
        <v>0</v>
      </c>
      <c r="L12" s="30" t="n">
        <f aca="false">SUM(L5:L11)</f>
        <v>17665</v>
      </c>
      <c r="M12" s="30" t="n">
        <f aca="false">SUM(M5:M11)</f>
        <v>17665</v>
      </c>
      <c r="N12" s="30" t="n">
        <f aca="false">ROUND(M12-L12,2)</f>
        <v>0</v>
      </c>
      <c r="O12" s="27"/>
      <c r="P12" s="27" t="str">
        <f aca="false">IF(COUNTIF(P5:P11,"OK")=7,"OK","РАСХОЖДЕНИЕ")</f>
        <v>РАСХОЖДЕНИЕ</v>
      </c>
    </row>
    <row r="15" customFormat="false" ht="15" hidden="false" customHeight="false" outlineLevel="0" collapsed="false">
      <c r="A15" s="31" t="s">
        <v>220</v>
      </c>
    </row>
    <row r="16" customFormat="false" ht="15" hidden="false" customHeight="false" outlineLevel="0" collapsed="false">
      <c r="A16" s="32" t="s">
        <v>221</v>
      </c>
      <c r="B16" s="32"/>
      <c r="C16" s="32"/>
      <c r="D16" s="32"/>
      <c r="E16" s="32"/>
      <c r="F16" s="32"/>
      <c r="G16" s="32"/>
      <c r="H16" s="33" t="n">
        <f aca="false">COUNTIF('Исходные данные'!AA5:AA44,"ОШИБКА")</f>
        <v>0</v>
      </c>
    </row>
    <row r="17" customFormat="false" ht="15" hidden="false" customHeight="false" outlineLevel="0" collapsed="false">
      <c r="A17" s="32" t="s">
        <v>222</v>
      </c>
      <c r="B17" s="32"/>
      <c r="C17" s="32"/>
      <c r="D17" s="32"/>
      <c r="E17" s="32"/>
      <c r="F17" s="32"/>
      <c r="G17" s="32"/>
      <c r="H17" s="33" t="n">
        <f aca="false">COUNTIF('Исходные данные'!AB5:AB44,"ОШИБКА")</f>
        <v>0</v>
      </c>
    </row>
    <row r="18" customFormat="false" ht="15" hidden="false" customHeight="false" outlineLevel="0" collapsed="false">
      <c r="A18" s="32" t="s">
        <v>223</v>
      </c>
      <c r="B18" s="32"/>
      <c r="C18" s="32"/>
      <c r="D18" s="32"/>
      <c r="E18" s="32"/>
      <c r="F18" s="32"/>
      <c r="G18" s="32"/>
      <c r="H18" s="33" t="n">
        <f aca="false">COUNTIF('Исходные данные'!AC5:AC44,"ОШИБКА")</f>
        <v>0</v>
      </c>
    </row>
    <row r="19" customFormat="false" ht="15" hidden="false" customHeight="false" outlineLevel="0" collapsed="false">
      <c r="A19" s="32" t="s">
        <v>224</v>
      </c>
      <c r="B19" s="32"/>
      <c r="C19" s="32"/>
      <c r="D19" s="32"/>
      <c r="E19" s="32"/>
      <c r="F19" s="32"/>
      <c r="G19" s="32"/>
      <c r="H19" s="33" t="n">
        <f aca="false">COUNTIF('Исходные данные'!AD5:AD44,"ОШИБКА")</f>
        <v>0</v>
      </c>
    </row>
    <row r="20" customFormat="false" ht="15" hidden="false" customHeight="false" outlineLevel="0" collapsed="false">
      <c r="A20" s="32" t="s">
        <v>225</v>
      </c>
      <c r="B20" s="32"/>
      <c r="C20" s="32"/>
      <c r="D20" s="32"/>
      <c r="E20" s="32"/>
      <c r="F20" s="32"/>
      <c r="G20" s="32"/>
      <c r="H20" s="33" t="n">
        <f aca="false">COUNTIF('Исходные данные'!AE5:AE44,"ОШИБКА")</f>
        <v>0</v>
      </c>
    </row>
    <row r="21" customFormat="false" ht="15" hidden="false" customHeight="false" outlineLevel="0" collapsed="false">
      <c r="A21" s="32" t="s">
        <v>226</v>
      </c>
      <c r="B21" s="32"/>
      <c r="C21" s="32"/>
      <c r="D21" s="32"/>
      <c r="E21" s="32"/>
      <c r="F21" s="32"/>
      <c r="G21" s="32"/>
      <c r="H21" s="33" t="n">
        <f aca="false">SUMPRODUCT(--(LEN('Исходные данные'!M5:M44)&lt;&gt;10))</f>
        <v>0</v>
      </c>
    </row>
    <row r="22" customFormat="false" ht="15" hidden="false" customHeight="false" outlineLevel="0" collapsed="false">
      <c r="A22" s="32" t="s">
        <v>227</v>
      </c>
      <c r="B22" s="32"/>
      <c r="C22" s="32"/>
      <c r="D22" s="32"/>
      <c r="E22" s="32"/>
      <c r="F22" s="32"/>
      <c r="G22" s="32"/>
      <c r="H22" s="33" t="n">
        <f aca="false">COUNTIF(Товары!$H$5:$H$44,"&lt;=0")+COUNTIF(Товары!$I$5:$I$44,"&lt;=0")+COUNTIF(Товары!$J$5:$J$44,"&lt;=0")</f>
        <v>0</v>
      </c>
    </row>
  </sheetData>
  <mergeCells count="7">
    <mergeCell ref="A16:G16"/>
    <mergeCell ref="A17:G17"/>
    <mergeCell ref="A18:G18"/>
    <mergeCell ref="A19:G19"/>
    <mergeCell ref="A20:G20"/>
    <mergeCell ref="A21:G2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70"/>
    <col collapsed="false" customWidth="true" hidden="false" outlineLevel="0" max="6" min="6" style="0" width="55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" t="s">
        <v>228</v>
      </c>
    </row>
    <row r="2" customFormat="false" ht="39.75" hidden="false" customHeight="true" outlineLevel="0" collapsed="false">
      <c r="A2" s="3" t="s">
        <v>229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3</v>
      </c>
      <c r="B4" s="4" t="s">
        <v>230</v>
      </c>
      <c r="C4" s="4" t="s">
        <v>231</v>
      </c>
      <c r="D4" s="4" t="s">
        <v>232</v>
      </c>
      <c r="E4" s="4" t="s">
        <v>233</v>
      </c>
      <c r="F4" s="4" t="s">
        <v>234</v>
      </c>
      <c r="G4" s="4" t="s">
        <v>235</v>
      </c>
    </row>
    <row r="5" customFormat="false" ht="46.25" hidden="false" customHeight="false" outlineLevel="0" collapsed="false">
      <c r="A5" s="6" t="n">
        <v>1</v>
      </c>
      <c r="B5" s="34" t="s">
        <v>236</v>
      </c>
      <c r="C5" s="6" t="s">
        <v>112</v>
      </c>
      <c r="D5" s="6" t="s">
        <v>160</v>
      </c>
      <c r="E5" s="6" t="s">
        <v>237</v>
      </c>
      <c r="F5" s="6" t="s">
        <v>238</v>
      </c>
      <c r="G5" s="6" t="s">
        <v>239</v>
      </c>
    </row>
    <row r="6" customFormat="false" ht="57.45" hidden="false" customHeight="false" outlineLevel="0" collapsed="false">
      <c r="A6" s="6" t="n">
        <v>2</v>
      </c>
      <c r="B6" s="35" t="s">
        <v>240</v>
      </c>
      <c r="C6" s="6" t="s">
        <v>241</v>
      </c>
      <c r="D6" s="6" t="s">
        <v>242</v>
      </c>
      <c r="E6" s="6" t="s">
        <v>243</v>
      </c>
      <c r="F6" s="6" t="s">
        <v>244</v>
      </c>
      <c r="G6" s="6" t="s">
        <v>245</v>
      </c>
    </row>
    <row r="7" customFormat="false" ht="46.25" hidden="false" customHeight="false" outlineLevel="0" collapsed="false">
      <c r="A7" s="6" t="n">
        <v>3</v>
      </c>
      <c r="B7" s="35" t="s">
        <v>240</v>
      </c>
      <c r="C7" s="6" t="s">
        <v>112</v>
      </c>
      <c r="D7" s="6" t="s">
        <v>139</v>
      </c>
      <c r="E7" s="6" t="s">
        <v>246</v>
      </c>
      <c r="F7" s="6" t="s">
        <v>247</v>
      </c>
      <c r="G7" s="6" t="s">
        <v>248</v>
      </c>
    </row>
    <row r="8" customFormat="false" ht="35.05" hidden="false" customHeight="false" outlineLevel="0" collapsed="false">
      <c r="A8" s="6" t="n">
        <v>4</v>
      </c>
      <c r="B8" s="35" t="s">
        <v>240</v>
      </c>
      <c r="C8" s="6" t="s">
        <v>74</v>
      </c>
      <c r="D8" s="6" t="s">
        <v>94</v>
      </c>
      <c r="E8" s="6" t="s">
        <v>249</v>
      </c>
      <c r="F8" s="6" t="s">
        <v>250</v>
      </c>
      <c r="G8" s="6" t="s">
        <v>251</v>
      </c>
    </row>
    <row r="9" customFormat="false" ht="46.25" hidden="false" customHeight="false" outlineLevel="0" collapsed="false">
      <c r="A9" s="6" t="n">
        <v>5</v>
      </c>
      <c r="B9" s="35" t="s">
        <v>240</v>
      </c>
      <c r="C9" s="6" t="s">
        <v>252</v>
      </c>
      <c r="D9" s="6" t="s">
        <v>253</v>
      </c>
      <c r="E9" s="6" t="s">
        <v>254</v>
      </c>
      <c r="F9" s="6" t="s">
        <v>255</v>
      </c>
      <c r="G9" s="6" t="s">
        <v>251</v>
      </c>
    </row>
    <row r="10" customFormat="false" ht="35.05" hidden="false" customHeight="false" outlineLevel="0" collapsed="false">
      <c r="A10" s="6" t="n">
        <v>6</v>
      </c>
      <c r="B10" s="35" t="s">
        <v>240</v>
      </c>
      <c r="C10" s="6" t="s">
        <v>112</v>
      </c>
      <c r="D10" s="6" t="s">
        <v>136</v>
      </c>
      <c r="E10" s="6" t="s">
        <v>256</v>
      </c>
      <c r="F10" s="6" t="s">
        <v>257</v>
      </c>
      <c r="G10" s="6" t="s">
        <v>251</v>
      </c>
    </row>
    <row r="11" customFormat="false" ht="35.05" hidden="false" customHeight="false" outlineLevel="0" collapsed="false">
      <c r="A11" s="6" t="n">
        <v>7</v>
      </c>
      <c r="B11" s="35" t="s">
        <v>240</v>
      </c>
      <c r="C11" s="6" t="s">
        <v>98</v>
      </c>
      <c r="D11" s="6" t="s">
        <v>258</v>
      </c>
      <c r="E11" s="6" t="s">
        <v>259</v>
      </c>
      <c r="F11" s="6" t="s">
        <v>260</v>
      </c>
      <c r="G11" s="6" t="s">
        <v>251</v>
      </c>
    </row>
    <row r="12" customFormat="false" ht="35.05" hidden="false" customHeight="false" outlineLevel="0" collapsed="false">
      <c r="A12" s="6" t="n">
        <v>8</v>
      </c>
      <c r="B12" s="6" t="s">
        <v>261</v>
      </c>
      <c r="C12" s="6" t="s">
        <v>112</v>
      </c>
      <c r="D12" s="6" t="s">
        <v>118</v>
      </c>
      <c r="E12" s="6" t="s">
        <v>262</v>
      </c>
      <c r="F12" s="6" t="s">
        <v>263</v>
      </c>
      <c r="G12" s="6" t="s">
        <v>264</v>
      </c>
    </row>
    <row r="13" customFormat="false" ht="35.05" hidden="false" customHeight="false" outlineLevel="0" collapsed="false">
      <c r="A13" s="6" t="n">
        <v>9</v>
      </c>
      <c r="B13" s="6" t="s">
        <v>265</v>
      </c>
      <c r="C13" s="6" t="s">
        <v>98</v>
      </c>
      <c r="D13" s="6" t="s">
        <v>109</v>
      </c>
      <c r="E13" s="6" t="s">
        <v>266</v>
      </c>
      <c r="F13" s="6" t="s">
        <v>267</v>
      </c>
      <c r="G13" s="6" t="s">
        <v>268</v>
      </c>
    </row>
    <row r="14" customFormat="false" ht="46.25" hidden="false" customHeight="false" outlineLevel="0" collapsed="false">
      <c r="A14" s="6" t="n">
        <v>10</v>
      </c>
      <c r="B14" s="6" t="s">
        <v>269</v>
      </c>
      <c r="C14" s="6" t="s">
        <v>270</v>
      </c>
      <c r="D14" s="6" t="s">
        <v>271</v>
      </c>
      <c r="E14" s="6" t="s">
        <v>272</v>
      </c>
      <c r="F14" s="6" t="s">
        <v>273</v>
      </c>
      <c r="G14" s="6" t="s">
        <v>274</v>
      </c>
    </row>
    <row r="15" customFormat="false" ht="35.05" hidden="false" customHeight="false" outlineLevel="0" collapsed="false">
      <c r="A15" s="6" t="n">
        <v>11</v>
      </c>
      <c r="B15" s="6" t="s">
        <v>275</v>
      </c>
      <c r="C15" s="6" t="s">
        <v>276</v>
      </c>
      <c r="D15" s="6" t="s">
        <v>271</v>
      </c>
      <c r="E15" s="6" t="s">
        <v>277</v>
      </c>
      <c r="F15" s="6" t="s">
        <v>278</v>
      </c>
      <c r="G15" s="6" t="s">
        <v>279</v>
      </c>
    </row>
    <row r="16" customFormat="false" ht="57.45" hidden="false" customHeight="false" outlineLevel="0" collapsed="false">
      <c r="A16" s="6" t="n">
        <v>12</v>
      </c>
      <c r="B16" s="6" t="s">
        <v>280</v>
      </c>
      <c r="C16" s="6" t="s">
        <v>281</v>
      </c>
      <c r="D16" s="6" t="s">
        <v>282</v>
      </c>
      <c r="E16" s="6" t="s">
        <v>283</v>
      </c>
      <c r="F16" s="6" t="s">
        <v>284</v>
      </c>
      <c r="G16" s="6" t="s">
        <v>279</v>
      </c>
    </row>
    <row r="17" customFormat="false" ht="35.05" hidden="false" customHeight="false" outlineLevel="0" collapsed="false">
      <c r="A17" s="6" t="n">
        <v>13</v>
      </c>
      <c r="B17" s="6" t="s">
        <v>280</v>
      </c>
      <c r="C17" s="6" t="s">
        <v>281</v>
      </c>
      <c r="D17" s="6" t="s">
        <v>271</v>
      </c>
      <c r="E17" s="6" t="s">
        <v>285</v>
      </c>
      <c r="F17" s="6" t="s">
        <v>286</v>
      </c>
      <c r="G17" s="6" t="s">
        <v>264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2026-10-04T10:04:08Z</dcterms:created>
  <dc:creator>openpyxl</dc:creator>
  <dc:description/>
  <dc:language>en-US</dc:language>
  <cp:lastModifiedBy/>
  <dcterms:modified xsi:type="dcterms:W3CDTF">2026-10-04T10:04:08Z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